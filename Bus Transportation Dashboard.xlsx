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ekae-my.sharepoint.com/personal/saffwan_khan_altek_ae/Documents/Desktop/izzi/"/>
    </mc:Choice>
  </mc:AlternateContent>
  <xr:revisionPtr revIDLastSave="1153" documentId="8_{9E7FD3D8-939A-4169-9126-C98AE25EDADD}" xr6:coauthVersionLast="47" xr6:coauthVersionMax="47" xr10:uidLastSave="{21B0887F-BC44-48DC-93F6-5506F050DB32}"/>
  <bookViews>
    <workbookView xWindow="-110" yWindow="-110" windowWidth="19420" windowHeight="10300" activeTab="1" xr2:uid="{93B5D458-7449-490A-BB3E-01EA62FCB53D}"/>
  </bookViews>
  <sheets>
    <sheet name="Analysis01" sheetId="1" r:id="rId1"/>
    <sheet name="Dashboard" sheetId="3" r:id="rId2"/>
  </sheets>
  <calcPr calcId="191029"/>
  <pivotCaches>
    <pivotCache cacheId="398" r:id="rId3"/>
    <pivotCache cacheId="401" r:id="rId4"/>
    <pivotCache cacheId="404" r:id="rId5"/>
    <pivotCache cacheId="407" r:id="rId6"/>
    <pivotCache cacheId="410" r:id="rId7"/>
    <pivotCache cacheId="413" r:id="rId8"/>
    <pivotCache cacheId="416" r:id="rId9"/>
    <pivotCache cacheId="419" r:id="rId10"/>
    <pivotCache cacheId="422" r:id="rId11"/>
    <pivotCache cacheId="425" r:id="rId12"/>
    <pivotCache cacheId="428" r:id="rId13"/>
    <pivotCache cacheId="44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b4880772-7193-4f50-868c-77c1c9844d44" name="Dim_buses" connection="Query - Dim_buses"/>
          <x15:modelTable id="Dim_demographics_c6c2533d-0f65-4cd4-84f3-1aa9f75bd105" name="Dim_demographics" connection="Query - Dim_demographics"/>
          <x15:modelTable id="Dim_routes_3b31a5bd-379c-41e1-a482-357c03fd890b" name="Dim_routes" connection="Query - Dim_routes"/>
          <x15:modelTable id="Facttable_ridership_33aebdbc-665b-4c3c-b1be-d9d15a6d0e07" name="Facttable_ridership" connection="Query - Facttable_ridership"/>
          <x15:modelTable id="Dim_DateTable_31b4b81d-fc88-4f78-9e03-eb7a56858c45" name="Dim_DateTable" connection="Query - Dim_DateTable"/>
          <x15:modelTable id="Calculations_c70281ea-7fed-44b0-979a-794e310103d9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table_ridership" fromColumn="BusID" toTable="Dim_buses" toColumn="BusID"/>
          <x15:modelRelationship fromTable="Facttable_ridership" fromColumn="RiderID" toTable="Dim_demographics" toColumn="RiderID"/>
          <x15:modelRelationship fromTable="Facttable_ridership" fromColumn="Date" toTable="Dim_Date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  <x16:modelTimeGrouping tableName="Dim_DateTabl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7" i="1" l="1"/>
  <c r="AU8" i="1"/>
  <c r="AU6" i="1"/>
  <c r="AT14" i="1"/>
  <c r="AU14" i="1" s="1"/>
  <c r="AT15" i="1"/>
  <c r="AU15" i="1" s="1"/>
  <c r="AT13" i="1"/>
  <c r="AU13" i="1" s="1"/>
  <c r="AC5" i="1"/>
  <c r="AD5" i="1"/>
  <c r="AD6" i="1"/>
  <c r="AD7" i="1"/>
  <c r="AD8" i="1"/>
  <c r="AD9" i="1"/>
  <c r="AD10" i="1"/>
  <c r="AD11" i="1"/>
  <c r="AD12" i="1"/>
  <c r="AC6" i="1"/>
  <c r="AC7" i="1"/>
  <c r="AC8" i="1"/>
  <c r="AC9" i="1"/>
  <c r="AC10" i="1"/>
  <c r="AC11" i="1"/>
  <c r="AC12" i="1"/>
  <c r="T20" i="1"/>
  <c r="T26" i="1" s="1"/>
  <c r="H10" i="1"/>
  <c r="AE9" i="1" l="1"/>
  <c r="AF9" i="1" s="1"/>
  <c r="AE10" i="1"/>
  <c r="AE11" i="1"/>
  <c r="AE12" i="1"/>
  <c r="AF12" i="1" s="1"/>
  <c r="AE8" i="1"/>
  <c r="AF8" i="1" s="1"/>
  <c r="AE6" i="1"/>
  <c r="AE7" i="1"/>
  <c r="AF7" i="1" s="1"/>
  <c r="AF11" i="1"/>
  <c r="AF10" i="1"/>
  <c r="U20" i="1"/>
  <c r="AF6" i="1" l="1"/>
  <c r="AC20" i="1" s="1"/>
  <c r="AC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DC90DB-40AC-4DF9-AD48-70A0189D900D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a65edfbc-4b9e-490f-be35-3b4c111f6ed3"/>
      </ext>
    </extLst>
  </connection>
  <connection id="2" xr16:uid="{596A90E3-2E77-4180-9B8B-D09A4261A58B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9adfe0d8-b469-4cba-b30d-0ffdb56a5c52"/>
      </ext>
    </extLst>
  </connection>
  <connection id="3" xr16:uid="{E98FB053-3E61-43B4-8EFA-7223564B2E7F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a8b4e7da-500f-459f-a9b1-e0cd2da790cc"/>
      </ext>
    </extLst>
  </connection>
  <connection id="4" xr16:uid="{2281B8C2-395A-4B76-A604-598BC0FF6CED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8a113f33-9f99-4c8d-8b06-e21bbd649407"/>
      </ext>
    </extLst>
  </connection>
  <connection id="5" xr16:uid="{712B00B1-E00A-4745-BB57-95CD67DE4A52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d5e40b7b-2fc9-42cd-9aaa-f37b92b3a827"/>
      </ext>
    </extLst>
  </connection>
  <connection id="6" xr16:uid="{FF78210C-0EC2-4071-B2CA-5E6DE9FE4B4B}" name="Query - Facttable_ridership" description="Connection to the 'Facttable_ridership' query in the workbook." type="100" refreshedVersion="8" minRefreshableVersion="5">
    <extLst>
      <ext xmlns:x15="http://schemas.microsoft.com/office/spreadsheetml/2010/11/main" uri="{DE250136-89BD-433C-8126-D09CA5730AF9}">
        <x15:connection id="d64a9890-163e-46fd-9a97-1af99fda085a"/>
      </ext>
    </extLst>
  </connection>
  <connection id="7" xr16:uid="{394A9CDA-D3CF-46E9-83BA-75B74303875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<sst xmlns="http://schemas.openxmlformats.org/spreadsheetml/2006/main" count="66" uniqueCount="47">
  <si>
    <t>Total Riders (Paseengers)</t>
  </si>
  <si>
    <t>Avg Riders Per Trip</t>
  </si>
  <si>
    <t>Total Riders (Paseengers)2</t>
  </si>
  <si>
    <t>East-West Express</t>
  </si>
  <si>
    <t>South Line</t>
  </si>
  <si>
    <t>Busiest Route</t>
  </si>
  <si>
    <t>RouteName</t>
  </si>
  <si>
    <t>Least Busy Route</t>
  </si>
  <si>
    <t>Time-Group</t>
  </si>
  <si>
    <t>10:00 AM - 3:00 PM</t>
  </si>
  <si>
    <t>3:00 PM - 8:00 PM</t>
  </si>
  <si>
    <t>5:00 AM - 10:00 AM</t>
  </si>
  <si>
    <t>8:00 PM - 13:00 PM</t>
  </si>
  <si>
    <t>Time</t>
  </si>
  <si>
    <t>Peak Hour of Operation</t>
  </si>
  <si>
    <t>Off-Peak Hour of Operation</t>
  </si>
  <si>
    <t>Year</t>
  </si>
  <si>
    <t>YoY Oct Change</t>
  </si>
  <si>
    <t>Indicator</t>
  </si>
  <si>
    <t>▲</t>
  </si>
  <si>
    <t>▼</t>
  </si>
  <si>
    <t>Caption:</t>
  </si>
  <si>
    <t>Dec</t>
  </si>
  <si>
    <t>Jan</t>
  </si>
  <si>
    <t>Day Name</t>
  </si>
  <si>
    <t>Fri</t>
  </si>
  <si>
    <t>Mon</t>
  </si>
  <si>
    <t>Sat</t>
  </si>
  <si>
    <t>Sun</t>
  </si>
  <si>
    <t>Thu</t>
  </si>
  <si>
    <t>Tue</t>
  </si>
  <si>
    <t>Wed</t>
  </si>
  <si>
    <t>z</t>
  </si>
  <si>
    <t>Average</t>
  </si>
  <si>
    <t>Above Average</t>
  </si>
  <si>
    <t>Above Average Percentage</t>
  </si>
  <si>
    <t>Month Name</t>
  </si>
  <si>
    <t>Bus Utilization Category</t>
  </si>
  <si>
    <t>Over-Utilized</t>
  </si>
  <si>
    <t>Under-Utilized</t>
  </si>
  <si>
    <t>Well-Utilized</t>
  </si>
  <si>
    <t>Total Buses</t>
  </si>
  <si>
    <t>Pct</t>
  </si>
  <si>
    <t>Pct Left</t>
  </si>
  <si>
    <t>Operation Moment</t>
  </si>
  <si>
    <t>AM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</si>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</sst>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3" fontId="0" fillId="0" borderId="0" xfId="0" applyNumberFormat="1"/>
    <xf numFmtId="0" fontId="0" fillId="3" borderId="0" xfId="0" applyFill="1"/>
    <xf numFmtId="0" fontId="0" fillId="4" borderId="0" xfId="0" applyFill="1"/>
    <xf numFmtId="19" fontId="0" fillId="0" borderId="0" xfId="0" applyNumberFormat="1"/>
    <xf numFmtId="0" fontId="2" fillId="3" borderId="0" xfId="0" applyFont="1" applyFill="1"/>
    <xf numFmtId="0" fontId="1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8B8B0"/>
      <color rgb="FFBF8EA5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1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[02-Excel Dashboard.xlsx]Analysis01!PivotTable7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8B8B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Analysis01!$H$4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8B8B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Analysis01!$G$5:$G$8</c:f>
              <c:strCache>
                <c:ptCount val="4"/>
                <c:pt idx="0">
                  <c:v>10:00 AM - 3:00 PM</c:v>
                </c:pt>
                <c:pt idx="1">
                  <c:v>8:00 PM - 13:00 PM</c:v>
                </c:pt>
                <c:pt idx="2">
                  <c:v>3:00 PM - 8:00 PM</c:v>
                </c:pt>
                <c:pt idx="3">
                  <c:v>5:00 AM - 10:00 AM</c:v>
                </c:pt>
              </c:strCache>
            </c:strRef>
          </c:cat>
          <c:val>
            <c:numRef>
              <c:f>Analysis01!$H$5:$H$8</c:f>
              <c:numCache>
                <c:formatCode>#,##0</c:formatCode>
                <c:ptCount val="4"/>
                <c:pt idx="0">
                  <c:v>2243</c:v>
                </c:pt>
                <c:pt idx="1">
                  <c:v>1653</c:v>
                </c:pt>
                <c:pt idx="2">
                  <c:v>1346</c:v>
                </c:pt>
                <c:pt idx="3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0-4613-8292-B84CC7E6E6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85318671"/>
        <c:axId val="785317231"/>
      </c:barChart>
      <c:catAx>
        <c:axId val="785318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17231"/>
        <c:crosses val="autoZero"/>
        <c:auto val="1"/>
        <c:lblAlgn val="ctr"/>
        <c:lblOffset val="100"/>
        <c:noMultiLvlLbl val="0"/>
      </c:catAx>
      <c:valAx>
        <c:axId val="785317231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78531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[02-Excel Dashboard.xlsx]Analysis01!PivotTable10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8B8B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Analysis01!$T$5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8B8B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Analysis01!$S$6:$S$7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Analysis01!$T$6:$T$7</c:f>
              <c:numCache>
                <c:formatCode>#,##0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2-4BD9-9181-44CC3264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864495"/>
        <c:axId val="680864975"/>
      </c:lineChart>
      <c:catAx>
        <c:axId val="68086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64975"/>
        <c:crosses val="autoZero"/>
        <c:auto val="1"/>
        <c:lblAlgn val="ctr"/>
        <c:lblOffset val="100"/>
        <c:noMultiLvlLbl val="0"/>
      </c:catAx>
      <c:valAx>
        <c:axId val="68086497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8086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008547008547008E-2"/>
          <c:y val="0.13532763532763534"/>
          <c:w val="0.90598290598290598"/>
          <c:h val="0.70001233820131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Analysis01!$AD$5</c:f>
              <c:strCache>
                <c:ptCount val="1"/>
                <c:pt idx="0">
                  <c:v>Total Riders (Paseengers)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Analysis01!$AC$6:$AC$12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Analysis01!$AD$6:$AD$12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2-43B3-BB82-1B4792A38FED}"/>
            </c:ext>
          </c:extLst>
        </c:ser>
        <c:ser>
          <c:idx val="2"/>
          <c:order val="2"/>
          <c:tx>
            <c:strRef>
              <c:f>Analysis01!$AF$5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rgbClr val="68B8B0"/>
            </a:solidFill>
            <a:ln>
              <a:noFill/>
            </a:ln>
            <a:effectLst/>
          </c:spPr>
          <c:invertIfNegative val="0"/>
          <c:val>
            <c:numRef>
              <c:f>Analysis01!$AF$6:$AF$12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2-43B3-BB82-1B4792A3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663209823"/>
        <c:axId val="663218463"/>
      </c:barChart>
      <c:lineChart>
        <c:grouping val="standard"/>
        <c:varyColors val="0"/>
        <c:ser>
          <c:idx val="1"/>
          <c:order val="1"/>
          <c:tx>
            <c:strRef>
              <c:f>Analysis01!$AE$5</c:f>
              <c:strCache>
                <c:ptCount val="1"/>
                <c:pt idx="0">
                  <c:v>Average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Analysis01!$AE$6:$AE$12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A2-43B3-BB82-1B4792A3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209823"/>
        <c:axId val="663218463"/>
      </c:lineChart>
      <c:catAx>
        <c:axId val="66320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18463"/>
        <c:crosses val="autoZero"/>
        <c:auto val="1"/>
        <c:lblAlgn val="ctr"/>
        <c:lblOffset val="100"/>
        <c:noMultiLvlLbl val="0"/>
      </c:catAx>
      <c:valAx>
        <c:axId val="6632184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320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[02-Excel Dashboard.xlsx]Analysis01!PivotTable21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8B8B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48923083087897"/>
          <c:y val="0.22119815668202766"/>
          <c:w val="0.82153112540321771"/>
          <c:h val="0.56573025146050293"/>
        </c:manualLayout>
      </c:layout>
      <c:lineChart>
        <c:grouping val="standard"/>
        <c:varyColors val="0"/>
        <c:ser>
          <c:idx val="0"/>
          <c:order val="0"/>
          <c:tx>
            <c:strRef>
              <c:f>Analysis01!$AO$5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8B8B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Analysis01!$AN$6:$AN$7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Analysis01!$AO$6:$AO$7</c:f>
              <c:numCache>
                <c:formatCode>#,##0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C-4F04-B1E3-983A1B2CDD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9571583"/>
        <c:axId val="789574943"/>
      </c:lineChart>
      <c:catAx>
        <c:axId val="7895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74943"/>
        <c:crosses val="autoZero"/>
        <c:auto val="1"/>
        <c:lblAlgn val="ctr"/>
        <c:lblOffset val="100"/>
        <c:noMultiLvlLbl val="0"/>
      </c:catAx>
      <c:valAx>
        <c:axId val="789574943"/>
        <c:scaling>
          <c:orientation val="minMax"/>
        </c:scaling>
        <c:delete val="0"/>
        <c:axPos val="l"/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7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Analysis01!$AS$13</c:f>
              <c:strCache>
                <c:ptCount val="1"/>
                <c:pt idx="0">
                  <c:v>Over-Utilized</c:v>
                </c:pt>
              </c:strCache>
            </c:strRef>
          </c:tx>
          <c:dPt>
            <c:idx val="0"/>
            <c:bubble3D val="0"/>
            <c:spPr>
              <a:solidFill>
                <a:srgbClr val="68B8B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7-466F-9347-36168A5EAB9C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67-466F-9347-36168A5EAB9C}"/>
              </c:ext>
            </c:extLst>
          </c:dPt>
          <c:val>
            <c:numRef>
              <c:f>Analysis01!$AT$13:$AU$13</c:f>
              <c:numCache>
                <c:formatCode>0%</c:formatCode>
                <c:ptCount val="2"/>
                <c:pt idx="0">
                  <c:v>0.30303030303030304</c:v>
                </c:pt>
                <c:pt idx="1">
                  <c:v>0.69696969696969702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67-466F-9347-36168A5EA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Analysis01!$AS$14</c:f>
              <c:strCache>
                <c:ptCount val="1"/>
                <c:pt idx="0">
                  <c:v>Under-Utilized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7-466F-9347-36168A5EAB9C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67-466F-9347-36168A5EAB9C}"/>
              </c:ext>
            </c:extLst>
          </c:dPt>
          <c:val>
            <c:numRef>
              <c:f>Analysis01!$AT$14:$AU$14</c:f>
              <c:numCache>
                <c:formatCode>0%</c:formatCode>
                <c:ptCount val="2"/>
                <c:pt idx="0">
                  <c:v>0.5757575757575758</c:v>
                </c:pt>
                <c:pt idx="1">
                  <c:v>0.4242424242424242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67-466F-9347-36168A5EA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Analysis01!$AS$15</c:f>
              <c:strCache>
                <c:ptCount val="1"/>
                <c:pt idx="0">
                  <c:v>Well-Utilized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7-466F-9347-36168A5EAB9C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67-466F-9347-36168A5EAB9C}"/>
              </c:ext>
            </c:extLst>
          </c:dPt>
          <c:val>
            <c:numRef>
              <c:f>Analysis01!$AT$15:$AU$15</c:f>
              <c:numCache>
                <c:formatCode>0%</c:formatCode>
                <c:ptCount val="2"/>
                <c:pt idx="0">
                  <c:v>0.12121212121212122</c:v>
                </c:pt>
                <c:pt idx="1">
                  <c:v>0.87878787878787878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67-466F-9347-36168A5EA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image" Target="../media/image6.png"/><Relationship Id="rId12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3.xml"/><Relationship Id="rId5" Type="http://schemas.openxmlformats.org/officeDocument/2006/relationships/image" Target="../media/image4.svg"/><Relationship Id="rId15" Type="http://schemas.openxmlformats.org/officeDocument/2006/relationships/chart" Target="../charts/chart7.xml"/><Relationship Id="rId10" Type="http://schemas.openxmlformats.org/officeDocument/2006/relationships/image" Target="../media/image8.svg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</xdr:colOff>
      <xdr:row>7</xdr:row>
      <xdr:rowOff>114300</xdr:rowOff>
    </xdr:from>
    <xdr:to>
      <xdr:col>13</xdr:col>
      <xdr:colOff>463550</xdr:colOff>
      <xdr:row>31</xdr:row>
      <xdr:rowOff>63500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B6CC9747-F0D5-9325-5AE2-566556A8271E}"/>
            </a:ext>
          </a:extLst>
        </xdr:cNvPr>
        <xdr:cNvGrpSpPr/>
      </xdr:nvGrpSpPr>
      <xdr:grpSpPr>
        <a:xfrm>
          <a:off x="5537200" y="1403350"/>
          <a:ext cx="2851150" cy="4368800"/>
          <a:chOff x="1047750" y="1638300"/>
          <a:chExt cx="4518660" cy="2781300"/>
        </a:xfrm>
      </xdr:grpSpPr>
      <xdr:sp macro="" textlink="">
        <xdr:nvSpPr>
          <xdr:cNvPr id="83" name="Rectangle: Rounded Corners 82">
            <a:extLst>
              <a:ext uri="{FF2B5EF4-FFF2-40B4-BE49-F238E27FC236}">
                <a16:creationId xmlns:a16="http://schemas.microsoft.com/office/drawing/2014/main" id="{034BDC17-35F2-235F-7F7F-5E366EE247F8}"/>
              </a:ext>
            </a:extLst>
          </xdr:cNvPr>
          <xdr:cNvSpPr/>
        </xdr:nvSpPr>
        <xdr:spPr>
          <a:xfrm>
            <a:off x="1085850" y="1638300"/>
            <a:ext cx="4480560" cy="2743200"/>
          </a:xfrm>
          <a:prstGeom prst="roundRect">
            <a:avLst>
              <a:gd name="adj" fmla="val 6442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4" name="Rectangle: Rounded Corners 83">
            <a:extLst>
              <a:ext uri="{FF2B5EF4-FFF2-40B4-BE49-F238E27FC236}">
                <a16:creationId xmlns:a16="http://schemas.microsoft.com/office/drawing/2014/main" id="{076CA91A-3591-2015-96C0-8EA385647A80}"/>
              </a:ext>
            </a:extLst>
          </xdr:cNvPr>
          <xdr:cNvSpPr/>
        </xdr:nvSpPr>
        <xdr:spPr>
          <a:xfrm>
            <a:off x="1047750" y="1676400"/>
            <a:ext cx="4480560" cy="2743200"/>
          </a:xfrm>
          <a:prstGeom prst="roundRect">
            <a:avLst>
              <a:gd name="adj" fmla="val 6442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285750</xdr:colOff>
      <xdr:row>2</xdr:row>
      <xdr:rowOff>76200</xdr:rowOff>
    </xdr:from>
    <xdr:to>
      <xdr:col>13</xdr:col>
      <xdr:colOff>450342</xdr:colOff>
      <xdr:row>7</xdr:row>
      <xdr:rowOff>88138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ADE7C5A-C2CE-A795-ADEF-67FD2D1E9E4E}"/>
            </a:ext>
          </a:extLst>
        </xdr:cNvPr>
        <xdr:cNvSpPr/>
      </xdr:nvSpPr>
      <xdr:spPr>
        <a:xfrm>
          <a:off x="895350" y="444500"/>
          <a:ext cx="7479792" cy="932688"/>
        </a:xfrm>
        <a:prstGeom prst="roundRect">
          <a:avLst>
            <a:gd name="adj" fmla="val 15306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146050</xdr:colOff>
      <xdr:row>0</xdr:row>
      <xdr:rowOff>171450</xdr:rowOff>
    </xdr:from>
    <xdr:to>
      <xdr:col>1</xdr:col>
      <xdr:colOff>203200</xdr:colOff>
      <xdr:row>31</xdr:row>
      <xdr:rowOff>50800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2C14DF1-5D46-969A-05CB-995E5F2EBDD2}"/>
            </a:ext>
          </a:extLst>
        </xdr:cNvPr>
        <xdr:cNvGrpSpPr/>
      </xdr:nvGrpSpPr>
      <xdr:grpSpPr>
        <a:xfrm>
          <a:off x="146050" y="171450"/>
          <a:ext cx="666750" cy="5588000"/>
          <a:chOff x="146050" y="146050"/>
          <a:chExt cx="666750" cy="567055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8199F2E9-F41B-41B0-995F-4C4BD85414F6}"/>
              </a:ext>
            </a:extLst>
          </xdr:cNvPr>
          <xdr:cNvSpPr/>
        </xdr:nvSpPr>
        <xdr:spPr>
          <a:xfrm>
            <a:off x="209550" y="146050"/>
            <a:ext cx="603250" cy="5664200"/>
          </a:xfrm>
          <a:prstGeom prst="roundRect">
            <a:avLst>
              <a:gd name="adj" fmla="val 15306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78B5226E-4602-4E82-A52C-0FFB3AC3A8BF}"/>
              </a:ext>
            </a:extLst>
          </xdr:cNvPr>
          <xdr:cNvSpPr/>
        </xdr:nvSpPr>
        <xdr:spPr>
          <a:xfrm>
            <a:off x="146050" y="152400"/>
            <a:ext cx="603250" cy="5664200"/>
          </a:xfrm>
          <a:prstGeom prst="roundRect">
            <a:avLst>
              <a:gd name="adj" fmla="val 15306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285750</xdr:colOff>
      <xdr:row>7</xdr:row>
      <xdr:rowOff>114300</xdr:rowOff>
    </xdr:from>
    <xdr:to>
      <xdr:col>8</xdr:col>
      <xdr:colOff>537210</xdr:colOff>
      <xdr:row>22</xdr:row>
      <xdr:rowOff>133350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A2412D94-1B38-20DF-35B7-512A088E76F0}"/>
            </a:ext>
          </a:extLst>
        </xdr:cNvPr>
        <xdr:cNvGrpSpPr/>
      </xdr:nvGrpSpPr>
      <xdr:grpSpPr>
        <a:xfrm>
          <a:off x="895350" y="1403350"/>
          <a:ext cx="4518660" cy="2781300"/>
          <a:chOff x="895350" y="1485900"/>
          <a:chExt cx="4518660" cy="2781300"/>
        </a:xfrm>
      </xdr:grpSpPr>
      <xdr:sp macro="" textlink="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7C81CA73-D1CC-9D36-23EC-43BE48E66802}"/>
              </a:ext>
            </a:extLst>
          </xdr:cNvPr>
          <xdr:cNvSpPr/>
        </xdr:nvSpPr>
        <xdr:spPr>
          <a:xfrm>
            <a:off x="933450" y="1485900"/>
            <a:ext cx="4480560" cy="2743200"/>
          </a:xfrm>
          <a:prstGeom prst="roundRect">
            <a:avLst>
              <a:gd name="adj" fmla="val 6442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ADA281F8-940E-4256-A933-E505E27914FF}"/>
              </a:ext>
            </a:extLst>
          </xdr:cNvPr>
          <xdr:cNvSpPr/>
        </xdr:nvSpPr>
        <xdr:spPr>
          <a:xfrm>
            <a:off x="895350" y="1524000"/>
            <a:ext cx="4480560" cy="2743200"/>
          </a:xfrm>
          <a:prstGeom prst="roundRect">
            <a:avLst>
              <a:gd name="adj" fmla="val 6442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442383</xdr:colOff>
      <xdr:row>2</xdr:row>
      <xdr:rowOff>57150</xdr:rowOff>
    </xdr:from>
    <xdr:to>
      <xdr:col>7</xdr:col>
      <xdr:colOff>194733</xdr:colOff>
      <xdr:row>4</xdr:row>
      <xdr:rowOff>114300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0CBE35-FB19-3F6A-5D7C-1A4A90E5720B}"/>
            </a:ext>
          </a:extLst>
        </xdr:cNvPr>
        <xdr:cNvSpPr txBox="1"/>
      </xdr:nvSpPr>
      <xdr:spPr>
        <a:xfrm>
          <a:off x="2880783" y="4254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Avg</a:t>
          </a:r>
          <a:r>
            <a:rPr lang="en-US" sz="11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Riders per Trip</a:t>
          </a:r>
          <a:endParaRPr lang="en-US" sz="11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374650</xdr:colOff>
      <xdr:row>2</xdr:row>
      <xdr:rowOff>57150</xdr:rowOff>
    </xdr:from>
    <xdr:to>
      <xdr:col>4</xdr:col>
      <xdr:colOff>127000</xdr:colOff>
      <xdr:row>4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58EC0F4-9E8A-466B-921E-BDB258607C69}"/>
            </a:ext>
          </a:extLst>
        </xdr:cNvPr>
        <xdr:cNvSpPr txBox="1"/>
      </xdr:nvSpPr>
      <xdr:spPr>
        <a:xfrm>
          <a:off x="984250" y="4254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Passengers</a:t>
          </a:r>
        </a:p>
      </xdr:txBody>
    </xdr:sp>
    <xdr:clientData/>
  </xdr:twoCellAnchor>
  <xdr:twoCellAnchor>
    <xdr:from>
      <xdr:col>7</xdr:col>
      <xdr:colOff>510116</xdr:colOff>
      <xdr:row>2</xdr:row>
      <xdr:rowOff>57150</xdr:rowOff>
    </xdr:from>
    <xdr:to>
      <xdr:col>10</xdr:col>
      <xdr:colOff>262466</xdr:colOff>
      <xdr:row>4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9185BC8-8AF2-4523-AFD5-5A46DB991CD9}"/>
            </a:ext>
          </a:extLst>
        </xdr:cNvPr>
        <xdr:cNvSpPr txBox="1"/>
      </xdr:nvSpPr>
      <xdr:spPr>
        <a:xfrm>
          <a:off x="4777316" y="4254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Busiest Ruote</a:t>
          </a:r>
        </a:p>
      </xdr:txBody>
    </xdr:sp>
    <xdr:clientData/>
  </xdr:twoCellAnchor>
  <xdr:twoCellAnchor>
    <xdr:from>
      <xdr:col>10</xdr:col>
      <xdr:colOff>577850</xdr:colOff>
      <xdr:row>2</xdr:row>
      <xdr:rowOff>57150</xdr:rowOff>
    </xdr:from>
    <xdr:to>
      <xdr:col>13</xdr:col>
      <xdr:colOff>330200</xdr:colOff>
      <xdr:row>4</xdr:row>
      <xdr:rowOff>114300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3925D60-6377-4221-B012-30DF670C58F4}"/>
            </a:ext>
          </a:extLst>
        </xdr:cNvPr>
        <xdr:cNvSpPr txBox="1"/>
      </xdr:nvSpPr>
      <xdr:spPr>
        <a:xfrm>
          <a:off x="6673850" y="4254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Least Busy Route</a:t>
          </a:r>
        </a:p>
      </xdr:txBody>
    </xdr:sp>
    <xdr:clientData/>
  </xdr:twoCellAnchor>
  <xdr:twoCellAnchor>
    <xdr:from>
      <xdr:col>4</xdr:col>
      <xdr:colOff>442383</xdr:colOff>
      <xdr:row>4</xdr:row>
      <xdr:rowOff>171450</xdr:rowOff>
    </xdr:from>
    <xdr:to>
      <xdr:col>7</xdr:col>
      <xdr:colOff>194733</xdr:colOff>
      <xdr:row>7</xdr:row>
      <xdr:rowOff>44450</xdr:rowOff>
    </xdr:to>
    <xdr:sp macro="" textlink="Analysis01!$C$3">
      <xdr:nvSpPr>
        <xdr:cNvPr id="39" name="TextBox 38">
          <a:extLst>
            <a:ext uri="{FF2B5EF4-FFF2-40B4-BE49-F238E27FC236}">
              <a16:creationId xmlns:a16="http://schemas.microsoft.com/office/drawing/2014/main" id="{4152BB8A-4AAD-77F8-3713-02ADF5980F31}"/>
            </a:ext>
          </a:extLst>
        </xdr:cNvPr>
        <xdr:cNvSpPr txBox="1"/>
      </xdr:nvSpPr>
      <xdr:spPr>
        <a:xfrm>
          <a:off x="2880783" y="9080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2FF02BE-541E-4C0E-B9AF-BB8EE7379631}" type="TxLink">
            <a:rPr lang="en-US" sz="1600" b="0" i="0" u="none" strike="noStrike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/>
            <a:t>33</a:t>
          </a:fld>
          <a:endParaRPr lang="en-US" sz="1600" b="0" i="0" u="none" strike="noStrike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374650</xdr:colOff>
      <xdr:row>4</xdr:row>
      <xdr:rowOff>171450</xdr:rowOff>
    </xdr:from>
    <xdr:to>
      <xdr:col>4</xdr:col>
      <xdr:colOff>127000</xdr:colOff>
      <xdr:row>7</xdr:row>
      <xdr:rowOff>44450</xdr:rowOff>
    </xdr:to>
    <xdr:sp macro="" textlink="Analysis01!B3">
      <xdr:nvSpPr>
        <xdr:cNvPr id="40" name="TextBox 39">
          <a:extLst>
            <a:ext uri="{FF2B5EF4-FFF2-40B4-BE49-F238E27FC236}">
              <a16:creationId xmlns:a16="http://schemas.microsoft.com/office/drawing/2014/main" id="{C7B8E5CC-2143-DB9A-AA98-5BD13FB96610}"/>
            </a:ext>
          </a:extLst>
        </xdr:cNvPr>
        <xdr:cNvSpPr txBox="1"/>
      </xdr:nvSpPr>
      <xdr:spPr>
        <a:xfrm>
          <a:off x="984250" y="9080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2B433D7C-CD28-4BD7-89E6-DE2F5B988BB2}" type="TxLink">
            <a:rPr lang="en-US" sz="1600" b="0" i="0" u="none" strike="noStrike" noProof="0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6,587</a:t>
          </a:fld>
          <a:endParaRPr lang="en-US" sz="1600" b="0" i="0" u="none" strike="noStrike" noProof="0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412750</xdr:colOff>
      <xdr:row>4</xdr:row>
      <xdr:rowOff>171450</xdr:rowOff>
    </xdr:from>
    <xdr:to>
      <xdr:col>10</xdr:col>
      <xdr:colOff>313266</xdr:colOff>
      <xdr:row>7</xdr:row>
      <xdr:rowOff>44450</xdr:rowOff>
    </xdr:to>
    <xdr:sp macro="" textlink="Analysis01!B8">
      <xdr:nvSpPr>
        <xdr:cNvPr id="41" name="TextBox 40">
          <a:extLst>
            <a:ext uri="{FF2B5EF4-FFF2-40B4-BE49-F238E27FC236}">
              <a16:creationId xmlns:a16="http://schemas.microsoft.com/office/drawing/2014/main" id="{E1DB08AB-F509-6735-FA3C-4470E83BC972}"/>
            </a:ext>
          </a:extLst>
        </xdr:cNvPr>
        <xdr:cNvSpPr txBox="1"/>
      </xdr:nvSpPr>
      <xdr:spPr>
        <a:xfrm>
          <a:off x="4679950" y="908050"/>
          <a:ext cx="1729316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3544F657-0053-44E6-BD4B-63824C20EA48}" type="TxLink">
            <a:rPr lang="en-US" sz="1600" b="0" i="0" u="none" strike="noStrike" noProof="0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East-West Express</a:t>
          </a:fld>
          <a:endParaRPr lang="en-US" sz="1600" b="0" i="0" u="none" strike="noStrike" noProof="0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577850</xdr:colOff>
      <xdr:row>4</xdr:row>
      <xdr:rowOff>171450</xdr:rowOff>
    </xdr:from>
    <xdr:to>
      <xdr:col>13</xdr:col>
      <xdr:colOff>330200</xdr:colOff>
      <xdr:row>7</xdr:row>
      <xdr:rowOff>44450</xdr:rowOff>
    </xdr:to>
    <xdr:sp macro="" textlink="Analysis01!B12">
      <xdr:nvSpPr>
        <xdr:cNvPr id="42" name="TextBox 41">
          <a:extLst>
            <a:ext uri="{FF2B5EF4-FFF2-40B4-BE49-F238E27FC236}">
              <a16:creationId xmlns:a16="http://schemas.microsoft.com/office/drawing/2014/main" id="{12EE93B5-72F7-43A9-2DE4-8A2C139CDBF3}"/>
            </a:ext>
          </a:extLst>
        </xdr:cNvPr>
        <xdr:cNvSpPr txBox="1"/>
      </xdr:nvSpPr>
      <xdr:spPr>
        <a:xfrm>
          <a:off x="6673850" y="9080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DA7EDF0-A9FE-48EC-9270-9117576C8AF0}" type="TxLink">
            <a:rPr lang="en-US" sz="1600" b="0" i="0" u="none" strike="noStrike" noProof="0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South Line</a:t>
          </a:fld>
          <a:endParaRPr lang="en-US" sz="1600" b="0" i="0" u="none" strike="noStrike" noProof="0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425450</xdr:colOff>
      <xdr:row>4</xdr:row>
      <xdr:rowOff>127000</xdr:rowOff>
    </xdr:from>
    <xdr:to>
      <xdr:col>13</xdr:col>
      <xdr:colOff>273050</xdr:colOff>
      <xdr:row>4</xdr:row>
      <xdr:rowOff>172719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30C93B3B-0357-B932-F054-9E5CF17D0729}"/>
            </a:ext>
          </a:extLst>
        </xdr:cNvPr>
        <xdr:cNvSpPr/>
      </xdr:nvSpPr>
      <xdr:spPr>
        <a:xfrm>
          <a:off x="1035050" y="863600"/>
          <a:ext cx="7162800" cy="45719"/>
        </a:xfrm>
        <a:prstGeom prst="roundRect">
          <a:avLst/>
        </a:prstGeom>
        <a:gradFill>
          <a:gsLst>
            <a:gs pos="7000">
              <a:schemeClr val="tx1">
                <a:lumMod val="95000"/>
                <a:lumOff val="5000"/>
              </a:schemeClr>
            </a:gs>
            <a:gs pos="52000">
              <a:schemeClr val="bg1">
                <a:lumMod val="50000"/>
              </a:schemeClr>
            </a:gs>
            <a:gs pos="93000">
              <a:schemeClr val="tx1">
                <a:lumMod val="95000"/>
                <a:lumOff val="5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gradFill flip="none" rotWithShape="1">
              <a:gsLst>
                <a:gs pos="0">
                  <a:schemeClr val="bg2">
                    <a:lumMod val="90000"/>
                  </a:schemeClr>
                </a:gs>
                <a:gs pos="52000">
                  <a:schemeClr val="bg2">
                    <a:lumMod val="50000"/>
                  </a:schemeClr>
                </a:gs>
                <a:gs pos="100000">
                  <a:schemeClr val="bg2">
                    <a:lumMod val="90000"/>
                  </a:schemeClr>
                </a:gs>
              </a:gsLst>
              <a:lin ang="0" scaled="0"/>
              <a:tileRect/>
            </a:gradFill>
          </a:endParaRPr>
        </a:p>
      </xdr:txBody>
    </xdr:sp>
    <xdr:clientData/>
  </xdr:twoCellAnchor>
  <xdr:twoCellAnchor>
    <xdr:from>
      <xdr:col>5</xdr:col>
      <xdr:colOff>546100</xdr:colOff>
      <xdr:row>4</xdr:row>
      <xdr:rowOff>69850</xdr:rowOff>
    </xdr:from>
    <xdr:to>
      <xdr:col>6</xdr:col>
      <xdr:colOff>88900</xdr:colOff>
      <xdr:row>5</xdr:row>
      <xdr:rowOff>38100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4750459-01FC-4727-2064-D0C8BDC4B0C7}"/>
            </a:ext>
          </a:extLst>
        </xdr:cNvPr>
        <xdr:cNvSpPr/>
      </xdr:nvSpPr>
      <xdr:spPr>
        <a:xfrm>
          <a:off x="3594100" y="806450"/>
          <a:ext cx="152400" cy="1524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406400</xdr:colOff>
      <xdr:row>4</xdr:row>
      <xdr:rowOff>63500</xdr:rowOff>
    </xdr:from>
    <xdr:to>
      <xdr:col>2</xdr:col>
      <xdr:colOff>558800</xdr:colOff>
      <xdr:row>5</xdr:row>
      <xdr:rowOff>31750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554CA36-C88E-862B-B73E-C94B3441E314}"/>
            </a:ext>
          </a:extLst>
        </xdr:cNvPr>
        <xdr:cNvSpPr/>
      </xdr:nvSpPr>
      <xdr:spPr>
        <a:xfrm>
          <a:off x="1625600" y="800100"/>
          <a:ext cx="152400" cy="1524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139700</xdr:colOff>
      <xdr:row>4</xdr:row>
      <xdr:rowOff>50800</xdr:rowOff>
    </xdr:from>
    <xdr:to>
      <xdr:col>12</xdr:col>
      <xdr:colOff>292100</xdr:colOff>
      <xdr:row>5</xdr:row>
      <xdr:rowOff>19050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AFB9442E-E4B5-6D94-10BE-13AFCC487FEC}"/>
            </a:ext>
          </a:extLst>
        </xdr:cNvPr>
        <xdr:cNvSpPr/>
      </xdr:nvSpPr>
      <xdr:spPr>
        <a:xfrm>
          <a:off x="7454900" y="787400"/>
          <a:ext cx="152400" cy="1524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571500</xdr:colOff>
      <xdr:row>4</xdr:row>
      <xdr:rowOff>57150</xdr:rowOff>
    </xdr:from>
    <xdr:to>
      <xdr:col>9</xdr:col>
      <xdr:colOff>114300</xdr:colOff>
      <xdr:row>5</xdr:row>
      <xdr:rowOff>25400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6B688E01-29A4-823B-7A93-174B81003819}"/>
            </a:ext>
          </a:extLst>
        </xdr:cNvPr>
        <xdr:cNvSpPr/>
      </xdr:nvSpPr>
      <xdr:spPr>
        <a:xfrm>
          <a:off x="5448300" y="793750"/>
          <a:ext cx="152400" cy="1524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605366</xdr:colOff>
      <xdr:row>0</xdr:row>
      <xdr:rowOff>25400</xdr:rowOff>
    </xdr:from>
    <xdr:to>
      <xdr:col>7</xdr:col>
      <xdr:colOff>69850</xdr:colOff>
      <xdr:row>2</xdr:row>
      <xdr:rowOff>82550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C4FA64F-3578-5D2C-E3F0-4A580FD07DD8}"/>
            </a:ext>
          </a:extLst>
        </xdr:cNvPr>
        <xdr:cNvSpPr txBox="1"/>
      </xdr:nvSpPr>
      <xdr:spPr>
        <a:xfrm>
          <a:off x="605366" y="25400"/>
          <a:ext cx="3731684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Transportation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1</xdr:col>
      <xdr:colOff>279400</xdr:colOff>
      <xdr:row>23</xdr:row>
      <xdr:rowOff>133350</xdr:rowOff>
    </xdr:from>
    <xdr:to>
      <xdr:col>8</xdr:col>
      <xdr:colOff>530860</xdr:colOff>
      <xdr:row>31</xdr:row>
      <xdr:rowOff>31750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55585E8D-22AA-B393-4475-9AC41F8E1CAB}"/>
            </a:ext>
          </a:extLst>
        </xdr:cNvPr>
        <xdr:cNvGrpSpPr/>
      </xdr:nvGrpSpPr>
      <xdr:grpSpPr>
        <a:xfrm>
          <a:off x="889000" y="4368800"/>
          <a:ext cx="4518660" cy="1371600"/>
          <a:chOff x="1047750" y="1638300"/>
          <a:chExt cx="4518660" cy="2781300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3987889F-8AC1-0097-9F5D-A60C9B01DB27}"/>
              </a:ext>
            </a:extLst>
          </xdr:cNvPr>
          <xdr:cNvSpPr/>
        </xdr:nvSpPr>
        <xdr:spPr>
          <a:xfrm>
            <a:off x="1085850" y="1638300"/>
            <a:ext cx="4480560" cy="2743200"/>
          </a:xfrm>
          <a:prstGeom prst="roundRect">
            <a:avLst>
              <a:gd name="adj" fmla="val 6442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24421F7B-11EC-0C7A-5840-ADAF726E983D}"/>
              </a:ext>
            </a:extLst>
          </xdr:cNvPr>
          <xdr:cNvSpPr/>
        </xdr:nvSpPr>
        <xdr:spPr>
          <a:xfrm>
            <a:off x="1047750" y="1676400"/>
            <a:ext cx="4480560" cy="2743200"/>
          </a:xfrm>
          <a:prstGeom prst="roundRect">
            <a:avLst>
              <a:gd name="adj" fmla="val 6442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330200</xdr:colOff>
      <xdr:row>8</xdr:row>
      <xdr:rowOff>127000</xdr:rowOff>
    </xdr:from>
    <xdr:to>
      <xdr:col>7</xdr:col>
      <xdr:colOff>463550</xdr:colOff>
      <xdr:row>11</xdr:row>
      <xdr:rowOff>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28DA786-3E91-275E-706C-A3364ACFA931}"/>
            </a:ext>
          </a:extLst>
        </xdr:cNvPr>
        <xdr:cNvSpPr txBox="1"/>
      </xdr:nvSpPr>
      <xdr:spPr>
        <a:xfrm>
          <a:off x="939800" y="1600200"/>
          <a:ext cx="37909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Bus Utilization by Time Range 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(Total Passengers by Time)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393700</xdr:colOff>
      <xdr:row>9</xdr:row>
      <xdr:rowOff>101600</xdr:rowOff>
    </xdr:from>
    <xdr:to>
      <xdr:col>1</xdr:col>
      <xdr:colOff>501650</xdr:colOff>
      <xdr:row>10</xdr:row>
      <xdr:rowOff>25400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7D8FCF00-DFFB-BE4E-47AD-C1D37AFFD5E3}"/>
            </a:ext>
          </a:extLst>
        </xdr:cNvPr>
        <xdr:cNvSpPr/>
      </xdr:nvSpPr>
      <xdr:spPr>
        <a:xfrm>
          <a:off x="1003300" y="1758950"/>
          <a:ext cx="107950" cy="107950"/>
        </a:xfrm>
        <a:prstGeom prst="ellipse">
          <a:avLst/>
        </a:prstGeom>
        <a:solidFill>
          <a:schemeClr val="bg1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425450</xdr:colOff>
      <xdr:row>11</xdr:row>
      <xdr:rowOff>138430</xdr:rowOff>
    </xdr:from>
    <xdr:to>
      <xdr:col>5</xdr:col>
      <xdr:colOff>425450</xdr:colOff>
      <xdr:row>22</xdr:row>
      <xdr:rowOff>133350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D820E3A8-EC66-4D31-BB1E-6B8B6EDB9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38100</xdr:rowOff>
    </xdr:from>
    <xdr:to>
      <xdr:col>1</xdr:col>
      <xdr:colOff>304800</xdr:colOff>
      <xdr:row>27</xdr:row>
      <xdr:rowOff>31750</xdr:rowOff>
    </xdr:to>
    <xdr:pic>
      <xdr:nvPicPr>
        <xdr:cNvPr id="58" name="Graphic 57" descr="Clock with solid fill">
          <a:extLst>
            <a:ext uri="{FF2B5EF4-FFF2-40B4-BE49-F238E27FC236}">
              <a16:creationId xmlns:a16="http://schemas.microsoft.com/office/drawing/2014/main" id="{0F9CFA02-AF6F-0B22-57A7-BB7A8C7F8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4089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10300</xdr:rowOff>
    </xdr:from>
    <xdr:to>
      <xdr:col>1</xdr:col>
      <xdr:colOff>304800</xdr:colOff>
      <xdr:row>21</xdr:row>
      <xdr:rowOff>3950</xdr:rowOff>
    </xdr:to>
    <xdr:pic>
      <xdr:nvPicPr>
        <xdr:cNvPr id="60" name="Graphic 59" descr="Stopwatch with solid fill">
          <a:extLst>
            <a:ext uri="{FF2B5EF4-FFF2-40B4-BE49-F238E27FC236}">
              <a16:creationId xmlns:a16="http://schemas.microsoft.com/office/drawing/2014/main" id="{16950962-09AE-DC25-2B13-4A925726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2956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508001</xdr:colOff>
      <xdr:row>17</xdr:row>
      <xdr:rowOff>24789</xdr:rowOff>
    </xdr:from>
    <xdr:to>
      <xdr:col>7</xdr:col>
      <xdr:colOff>311150</xdr:colOff>
      <xdr:row>19</xdr:row>
      <xdr:rowOff>69238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C1443D9-FF8B-C097-C37A-91973E7F2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601" y="3155339"/>
          <a:ext cx="412749" cy="412749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11</xdr:row>
      <xdr:rowOff>107304</xdr:rowOff>
    </xdr:from>
    <xdr:to>
      <xdr:col>7</xdr:col>
      <xdr:colOff>254000</xdr:colOff>
      <xdr:row>13</xdr:row>
      <xdr:rowOff>12054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53B9FAB-7A21-28AC-8734-F7A325CC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2132954"/>
          <a:ext cx="273050" cy="273050"/>
        </a:xfrm>
        <a:prstGeom prst="rect">
          <a:avLst/>
        </a:prstGeom>
      </xdr:spPr>
    </xdr:pic>
    <xdr:clientData/>
  </xdr:twoCellAnchor>
  <xdr:twoCellAnchor>
    <xdr:from>
      <xdr:col>5</xdr:col>
      <xdr:colOff>387350</xdr:colOff>
      <xdr:row>13</xdr:row>
      <xdr:rowOff>0</xdr:rowOff>
    </xdr:from>
    <xdr:to>
      <xdr:col>8</xdr:col>
      <xdr:colOff>472016</xdr:colOff>
      <xdr:row>15</xdr:row>
      <xdr:rowOff>57150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26ACACF-54E6-8809-8510-7D2A5C0DC8CA}"/>
            </a:ext>
          </a:extLst>
        </xdr:cNvPr>
        <xdr:cNvSpPr txBox="1"/>
      </xdr:nvSpPr>
      <xdr:spPr>
        <a:xfrm>
          <a:off x="3435350" y="2393950"/>
          <a:ext cx="1913466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Peak Hours of Operation</a:t>
          </a:r>
        </a:p>
      </xdr:txBody>
    </xdr:sp>
    <xdr:clientData/>
  </xdr:twoCellAnchor>
  <xdr:twoCellAnchor>
    <xdr:from>
      <xdr:col>5</xdr:col>
      <xdr:colOff>317500</xdr:colOff>
      <xdr:row>18</xdr:row>
      <xdr:rowOff>133350</xdr:rowOff>
    </xdr:from>
    <xdr:to>
      <xdr:col>8</xdr:col>
      <xdr:colOff>450850</xdr:colOff>
      <xdr:row>21</xdr:row>
      <xdr:rowOff>6350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D0DC5CA-1E3E-E286-EF69-8FD07ADA8E07}"/>
            </a:ext>
          </a:extLst>
        </xdr:cNvPr>
        <xdr:cNvSpPr txBox="1"/>
      </xdr:nvSpPr>
      <xdr:spPr>
        <a:xfrm>
          <a:off x="3365500" y="3448050"/>
          <a:ext cx="1962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Off-Peak Hours of Operation </a:t>
          </a:r>
        </a:p>
      </xdr:txBody>
    </xdr:sp>
    <xdr:clientData/>
  </xdr:twoCellAnchor>
  <xdr:twoCellAnchor>
    <xdr:from>
      <xdr:col>5</xdr:col>
      <xdr:colOff>501650</xdr:colOff>
      <xdr:row>14</xdr:row>
      <xdr:rowOff>76200</xdr:rowOff>
    </xdr:from>
    <xdr:to>
      <xdr:col>8</xdr:col>
      <xdr:colOff>402166</xdr:colOff>
      <xdr:row>16</xdr:row>
      <xdr:rowOff>133350</xdr:rowOff>
    </xdr:to>
    <xdr:sp macro="" textlink="Analysis01!G14">
      <xdr:nvSpPr>
        <xdr:cNvPr id="67" name="TextBox 66">
          <a:extLst>
            <a:ext uri="{FF2B5EF4-FFF2-40B4-BE49-F238E27FC236}">
              <a16:creationId xmlns:a16="http://schemas.microsoft.com/office/drawing/2014/main" id="{C3FA5299-F40E-D617-0A5F-38529D98FE26}"/>
            </a:ext>
          </a:extLst>
        </xdr:cNvPr>
        <xdr:cNvSpPr txBox="1"/>
      </xdr:nvSpPr>
      <xdr:spPr>
        <a:xfrm>
          <a:off x="3549650" y="2654300"/>
          <a:ext cx="1729316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5EB3A86-75AA-47E0-B94F-2FD098C91770}" type="TxLink">
            <a:rPr lang="en-US" sz="1600" b="1" i="0" u="none" strike="noStrike" noProof="0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8:57:00 PM</a:t>
          </a:fld>
          <a:endParaRPr lang="en-US" sz="1600" b="1" i="0" u="none" strike="noStrike" noProof="0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457200</xdr:colOff>
      <xdr:row>20</xdr:row>
      <xdr:rowOff>6350</xdr:rowOff>
    </xdr:from>
    <xdr:to>
      <xdr:col>8</xdr:col>
      <xdr:colOff>357716</xdr:colOff>
      <xdr:row>22</xdr:row>
      <xdr:rowOff>63500</xdr:rowOff>
    </xdr:to>
    <xdr:sp macro="" textlink="Analysis01!J14">
      <xdr:nvSpPr>
        <xdr:cNvPr id="68" name="TextBox 67">
          <a:extLst>
            <a:ext uri="{FF2B5EF4-FFF2-40B4-BE49-F238E27FC236}">
              <a16:creationId xmlns:a16="http://schemas.microsoft.com/office/drawing/2014/main" id="{F00474C8-0807-8091-3E02-5CF326F8CB35}"/>
            </a:ext>
          </a:extLst>
        </xdr:cNvPr>
        <xdr:cNvSpPr txBox="1"/>
      </xdr:nvSpPr>
      <xdr:spPr>
        <a:xfrm>
          <a:off x="3505200" y="3689350"/>
          <a:ext cx="1729316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9BFA75B1-4C91-4D4F-867B-B1D7554B8B81}" type="TxLink">
            <a:rPr lang="en-US" sz="1600" b="1" i="0" u="none" strike="noStrike" noProof="0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7:50:00 PM</a:t>
          </a:fld>
          <a:endParaRPr lang="en-US" sz="1600" b="1" i="0" u="none" strike="noStrike" noProof="0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438150</xdr:colOff>
      <xdr:row>25</xdr:row>
      <xdr:rowOff>115570</xdr:rowOff>
    </xdr:from>
    <xdr:to>
      <xdr:col>5</xdr:col>
      <xdr:colOff>171449</xdr:colOff>
      <xdr:row>31</xdr:row>
      <xdr:rowOff>69850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BC50C0C-CF52-4245-9E50-0264E2FC3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349250</xdr:colOff>
      <xdr:row>23</xdr:row>
      <xdr:rowOff>101600</xdr:rowOff>
    </xdr:from>
    <xdr:to>
      <xdr:col>5</xdr:col>
      <xdr:colOff>101600</xdr:colOff>
      <xdr:row>25</xdr:row>
      <xdr:rowOff>158750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B21367E-C46B-6C97-C00B-7351758B21B8}"/>
            </a:ext>
          </a:extLst>
        </xdr:cNvPr>
        <xdr:cNvSpPr txBox="1"/>
      </xdr:nvSpPr>
      <xdr:spPr>
        <a:xfrm>
          <a:off x="958850" y="4337050"/>
          <a:ext cx="21907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Riders Yearly Distribution</a:t>
          </a:r>
        </a:p>
      </xdr:txBody>
    </xdr:sp>
    <xdr:clientData/>
  </xdr:twoCellAnchor>
  <xdr:twoCellAnchor>
    <xdr:from>
      <xdr:col>1</xdr:col>
      <xdr:colOff>349250</xdr:colOff>
      <xdr:row>24</xdr:row>
      <xdr:rowOff>82550</xdr:rowOff>
    </xdr:from>
    <xdr:to>
      <xdr:col>1</xdr:col>
      <xdr:colOff>457200</xdr:colOff>
      <xdr:row>25</xdr:row>
      <xdr:rowOff>6350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35CFD9A-04BF-B9F7-DE43-27D7A2519649}"/>
            </a:ext>
          </a:extLst>
        </xdr:cNvPr>
        <xdr:cNvSpPr/>
      </xdr:nvSpPr>
      <xdr:spPr>
        <a:xfrm>
          <a:off x="958850" y="4502150"/>
          <a:ext cx="107950" cy="107950"/>
        </a:xfrm>
        <a:prstGeom prst="ellipse">
          <a:avLst/>
        </a:prstGeom>
        <a:solidFill>
          <a:schemeClr val="bg1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546100</xdr:colOff>
      <xdr:row>24</xdr:row>
      <xdr:rowOff>177800</xdr:rowOff>
    </xdr:from>
    <xdr:to>
      <xdr:col>6</xdr:col>
      <xdr:colOff>387350</xdr:colOff>
      <xdr:row>27</xdr:row>
      <xdr:rowOff>50800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EBFEAD7-2FDD-3196-45D3-32DF8C11BCC7}"/>
            </a:ext>
          </a:extLst>
        </xdr:cNvPr>
        <xdr:cNvSpPr txBox="1"/>
      </xdr:nvSpPr>
      <xdr:spPr>
        <a:xfrm>
          <a:off x="2984500" y="4597400"/>
          <a:ext cx="10604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YoY Change</a:t>
          </a:r>
        </a:p>
      </xdr:txBody>
    </xdr:sp>
    <xdr:clientData/>
  </xdr:twoCellAnchor>
  <xdr:twoCellAnchor>
    <xdr:from>
      <xdr:col>4</xdr:col>
      <xdr:colOff>546100</xdr:colOff>
      <xdr:row>26</xdr:row>
      <xdr:rowOff>12700</xdr:rowOff>
    </xdr:from>
    <xdr:to>
      <xdr:col>6</xdr:col>
      <xdr:colOff>387350</xdr:colOff>
      <xdr:row>28</xdr:row>
      <xdr:rowOff>69850</xdr:rowOff>
    </xdr:to>
    <xdr:sp macro="" textlink="Analysis01!T20">
      <xdr:nvSpPr>
        <xdr:cNvPr id="74" name="TextBox 73">
          <a:extLst>
            <a:ext uri="{FF2B5EF4-FFF2-40B4-BE49-F238E27FC236}">
              <a16:creationId xmlns:a16="http://schemas.microsoft.com/office/drawing/2014/main" id="{C0B6704D-2F15-6572-44DE-26733ADB5829}"/>
            </a:ext>
          </a:extLst>
        </xdr:cNvPr>
        <xdr:cNvSpPr txBox="1"/>
      </xdr:nvSpPr>
      <xdr:spPr>
        <a:xfrm>
          <a:off x="2984500" y="4800600"/>
          <a:ext cx="10604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4387111-2CC1-4D24-A77F-1DB7706AEB26}" type="TxLink">
            <a:rPr lang="en-US" sz="1600" b="0" i="0" u="none" strike="noStrike" noProof="0">
              <a:solidFill>
                <a:schemeClr val="bg1">
                  <a:lumMod val="8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-83.50%</a:t>
          </a:fld>
          <a:endParaRPr lang="en-US" sz="1600" b="0" i="0" u="none" strike="noStrike" noProof="0">
            <a:solidFill>
              <a:schemeClr val="bg1">
                <a:lumMod val="8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527050</xdr:colOff>
      <xdr:row>27</xdr:row>
      <xdr:rowOff>57150</xdr:rowOff>
    </xdr:from>
    <xdr:to>
      <xdr:col>6</xdr:col>
      <xdr:colOff>368300</xdr:colOff>
      <xdr:row>29</xdr:row>
      <xdr:rowOff>114300</xdr:rowOff>
    </xdr:to>
    <xdr:sp macro="" textlink="Analysis01!U20">
      <xdr:nvSpPr>
        <xdr:cNvPr id="75" name="TextBox 74">
          <a:extLst>
            <a:ext uri="{FF2B5EF4-FFF2-40B4-BE49-F238E27FC236}">
              <a16:creationId xmlns:a16="http://schemas.microsoft.com/office/drawing/2014/main" id="{18A35889-CF51-F29C-36A2-2E80AF19A931}"/>
            </a:ext>
          </a:extLst>
        </xdr:cNvPr>
        <xdr:cNvSpPr txBox="1"/>
      </xdr:nvSpPr>
      <xdr:spPr>
        <a:xfrm>
          <a:off x="2965450" y="5029200"/>
          <a:ext cx="10604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732C90E-6FD6-4A17-BADB-636AF80DF885}" type="TxLink">
            <a:rPr lang="en-US" sz="2000" b="0" i="0" u="none" strike="noStrike" noProof="0">
              <a:solidFill>
                <a:schemeClr val="bg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▼</a:t>
          </a:fld>
          <a:endParaRPr lang="en-US" sz="2000" b="0" i="0" u="none" strike="noStrike" noProof="0">
            <a:solidFill>
              <a:schemeClr val="bg1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476250</xdr:colOff>
      <xdr:row>24</xdr:row>
      <xdr:rowOff>50800</xdr:rowOff>
    </xdr:from>
    <xdr:to>
      <xdr:col>8</xdr:col>
      <xdr:colOff>412750</xdr:colOff>
      <xdr:row>30</xdr:row>
      <xdr:rowOff>146050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ECBE3FAF-1233-F79F-041E-6B6F8F2AE0F3}"/>
            </a:ext>
          </a:extLst>
        </xdr:cNvPr>
        <xdr:cNvSpPr/>
      </xdr:nvSpPr>
      <xdr:spPr>
        <a:xfrm>
          <a:off x="4133850" y="4470400"/>
          <a:ext cx="1155700" cy="1200150"/>
        </a:xfrm>
        <a:prstGeom prst="roundRect">
          <a:avLst>
            <a:gd name="adj" fmla="val 9524"/>
          </a:avLst>
        </a:prstGeom>
        <a:gradFill flip="none" rotWithShape="1">
          <a:gsLst>
            <a:gs pos="97000">
              <a:schemeClr val="tx1">
                <a:lumMod val="65000"/>
                <a:lumOff val="35000"/>
              </a:schemeClr>
            </a:gs>
            <a:gs pos="8000">
              <a:schemeClr val="tx1">
                <a:lumMod val="95000"/>
                <a:lumOff val="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527050</xdr:colOff>
      <xdr:row>25</xdr:row>
      <xdr:rowOff>158750</xdr:rowOff>
    </xdr:from>
    <xdr:to>
      <xdr:col>8</xdr:col>
      <xdr:colOff>368300</xdr:colOff>
      <xdr:row>31</xdr:row>
      <xdr:rowOff>38100</xdr:rowOff>
    </xdr:to>
    <xdr:sp macro="" textlink="Analysis01!T26">
      <xdr:nvSpPr>
        <xdr:cNvPr id="77" name="TextBox 76">
          <a:extLst>
            <a:ext uri="{FF2B5EF4-FFF2-40B4-BE49-F238E27FC236}">
              <a16:creationId xmlns:a16="http://schemas.microsoft.com/office/drawing/2014/main" id="{D88B137C-76C7-BC1C-6D9A-6405C26E718F}"/>
            </a:ext>
          </a:extLst>
        </xdr:cNvPr>
        <xdr:cNvSpPr txBox="1"/>
      </xdr:nvSpPr>
      <xdr:spPr>
        <a:xfrm>
          <a:off x="4184650" y="4762500"/>
          <a:ext cx="1060450" cy="984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15987E9-0AEF-43E1-8E43-6EFABC656479}" type="TxLink"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95000"/>
                </a:schemeClr>
              </a:solidFill>
              <a:effectLst/>
              <a:uLnTx/>
              <a:uFillTx/>
              <a:latin typeface="Aptos Narrow"/>
              <a:ea typeface="+mn-ea"/>
              <a:cs typeface="Arial" panose="020B0604020202020204" pitchFamily="34" charset="0"/>
            </a:rPr>
            <a:t>YoY change suggests room for improvement</a:t>
          </a:fld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>
                <a:lumMod val="95000"/>
              </a:scheme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190500</xdr:colOff>
      <xdr:row>23</xdr:row>
      <xdr:rowOff>152400</xdr:rowOff>
    </xdr:from>
    <xdr:to>
      <xdr:col>8</xdr:col>
      <xdr:colOff>82550</xdr:colOff>
      <xdr:row>26</xdr:row>
      <xdr:rowOff>101600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63D6D7AE-1449-C19D-B075-497590E94E3B}"/>
            </a:ext>
          </a:extLst>
        </xdr:cNvPr>
        <xdr:cNvSpPr/>
      </xdr:nvSpPr>
      <xdr:spPr>
        <a:xfrm>
          <a:off x="4457700" y="4387850"/>
          <a:ext cx="501650" cy="5016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241300</xdr:colOff>
      <xdr:row>24</xdr:row>
      <xdr:rowOff>6350</xdr:rowOff>
    </xdr:from>
    <xdr:to>
      <xdr:col>8</xdr:col>
      <xdr:colOff>38100</xdr:colOff>
      <xdr:row>26</xdr:row>
      <xdr:rowOff>44450</xdr:rowOff>
    </xdr:to>
    <xdr:pic>
      <xdr:nvPicPr>
        <xdr:cNvPr id="80" name="Graphic 79" descr="Lightbulb with solid fill">
          <a:extLst>
            <a:ext uri="{FF2B5EF4-FFF2-40B4-BE49-F238E27FC236}">
              <a16:creationId xmlns:a16="http://schemas.microsoft.com/office/drawing/2014/main" id="{91378D47-075D-DFFD-657A-392F838E8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schemeClr val="bg2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508500" y="4425950"/>
          <a:ext cx="406400" cy="406400"/>
        </a:xfrm>
        <a:prstGeom prst="rect">
          <a:avLst/>
        </a:prstGeom>
      </xdr:spPr>
    </xdr:pic>
    <xdr:clientData/>
  </xdr:twoCellAnchor>
  <xdr:twoCellAnchor>
    <xdr:from>
      <xdr:col>8</xdr:col>
      <xdr:colOff>596901</xdr:colOff>
      <xdr:row>21</xdr:row>
      <xdr:rowOff>117475</xdr:rowOff>
    </xdr:from>
    <xdr:to>
      <xdr:col>13</xdr:col>
      <xdr:colOff>520701</xdr:colOff>
      <xdr:row>31</xdr:row>
      <xdr:rowOff>59055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69854A1B-9CA9-45D6-9BEA-28E6EE3BB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6350</xdr:colOff>
      <xdr:row>2</xdr:row>
      <xdr:rowOff>76200</xdr:rowOff>
    </xdr:from>
    <xdr:to>
      <xdr:col>19</xdr:col>
      <xdr:colOff>263991</xdr:colOff>
      <xdr:row>31</xdr:row>
      <xdr:rowOff>25400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5FA180E3-9D5D-948B-4342-1D36FD6FC840}"/>
            </a:ext>
          </a:extLst>
        </xdr:cNvPr>
        <xdr:cNvSpPr/>
      </xdr:nvSpPr>
      <xdr:spPr>
        <a:xfrm>
          <a:off x="8540750" y="444500"/>
          <a:ext cx="3305641" cy="5289550"/>
        </a:xfrm>
        <a:prstGeom prst="roundRect">
          <a:avLst>
            <a:gd name="adj" fmla="val 6442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184150</xdr:colOff>
      <xdr:row>17</xdr:row>
      <xdr:rowOff>107950</xdr:rowOff>
    </xdr:from>
    <xdr:to>
      <xdr:col>13</xdr:col>
      <xdr:colOff>336550</xdr:colOff>
      <xdr:row>22</xdr:row>
      <xdr:rowOff>146050</xdr:rowOff>
    </xdr:to>
    <xdr:sp macro="" textlink="Analysis01!AC16">
      <xdr:nvSpPr>
        <xdr:cNvPr id="88" name="TextBox 87">
          <a:extLst>
            <a:ext uri="{FF2B5EF4-FFF2-40B4-BE49-F238E27FC236}">
              <a16:creationId xmlns:a16="http://schemas.microsoft.com/office/drawing/2014/main" id="{42B946A7-0079-A843-16A7-57E9002A2EAC}"/>
            </a:ext>
          </a:extLst>
        </xdr:cNvPr>
        <xdr:cNvSpPr txBox="1"/>
      </xdr:nvSpPr>
      <xdr:spPr>
        <a:xfrm>
          <a:off x="5670550" y="3238500"/>
          <a:ext cx="2590800" cy="958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A576FF7-BACE-40AC-9C8E-ACEB09EFE485}" type="TxLink"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Focus on Highlighted Weekdays: they exceeded the 941 passengers average and account for 49.39% of the total passengers</a:t>
          </a:fld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419100</xdr:colOff>
      <xdr:row>16</xdr:row>
      <xdr:rowOff>88900</xdr:rowOff>
    </xdr:from>
    <xdr:to>
      <xdr:col>13</xdr:col>
      <xdr:colOff>127000</xdr:colOff>
      <xdr:row>18</xdr:row>
      <xdr:rowOff>146050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7317A5A-ED75-7E2E-3636-0417571B761F}"/>
            </a:ext>
          </a:extLst>
        </xdr:cNvPr>
        <xdr:cNvSpPr txBox="1"/>
      </xdr:nvSpPr>
      <xdr:spPr>
        <a:xfrm>
          <a:off x="5905500" y="3035300"/>
          <a:ext cx="214630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Riders Weekday Distribution</a:t>
          </a:r>
        </a:p>
      </xdr:txBody>
    </xdr:sp>
    <xdr:clientData/>
  </xdr:twoCellAnchor>
  <xdr:twoCellAnchor>
    <xdr:from>
      <xdr:col>9</xdr:col>
      <xdr:colOff>361950</xdr:colOff>
      <xdr:row>17</xdr:row>
      <xdr:rowOff>76200</xdr:rowOff>
    </xdr:from>
    <xdr:to>
      <xdr:col>9</xdr:col>
      <xdr:colOff>469900</xdr:colOff>
      <xdr:row>18</xdr:row>
      <xdr:rowOff>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84E1B1B1-06FF-9BD8-D7E9-E810DA09D990}"/>
            </a:ext>
          </a:extLst>
        </xdr:cNvPr>
        <xdr:cNvSpPr/>
      </xdr:nvSpPr>
      <xdr:spPr>
        <a:xfrm>
          <a:off x="5848350" y="3206750"/>
          <a:ext cx="107950" cy="107950"/>
        </a:xfrm>
        <a:prstGeom prst="ellipse">
          <a:avLst/>
        </a:prstGeom>
        <a:solidFill>
          <a:schemeClr val="bg1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234950</xdr:colOff>
      <xdr:row>9</xdr:row>
      <xdr:rowOff>19050</xdr:rowOff>
    </xdr:from>
    <xdr:to>
      <xdr:col>13</xdr:col>
      <xdr:colOff>292100</xdr:colOff>
      <xdr:row>16</xdr:row>
      <xdr:rowOff>107950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BBB2E181-1862-407D-B8F1-3260B2F7C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419100</xdr:colOff>
      <xdr:row>7</xdr:row>
      <xdr:rowOff>158750</xdr:rowOff>
    </xdr:from>
    <xdr:to>
      <xdr:col>13</xdr:col>
      <xdr:colOff>25400</xdr:colOff>
      <xdr:row>10</xdr:row>
      <xdr:rowOff>31750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EF97227-FDEF-652E-AF91-0C12DCC99FE6}"/>
            </a:ext>
          </a:extLst>
        </xdr:cNvPr>
        <xdr:cNvSpPr txBox="1"/>
      </xdr:nvSpPr>
      <xdr:spPr>
        <a:xfrm>
          <a:off x="5905500" y="1447800"/>
          <a:ext cx="204470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Riders Monthly Distribution</a:t>
          </a:r>
        </a:p>
      </xdr:txBody>
    </xdr:sp>
    <xdr:clientData/>
  </xdr:twoCellAnchor>
  <xdr:twoCellAnchor>
    <xdr:from>
      <xdr:col>9</xdr:col>
      <xdr:colOff>361950</xdr:colOff>
      <xdr:row>8</xdr:row>
      <xdr:rowOff>146050</xdr:rowOff>
    </xdr:from>
    <xdr:to>
      <xdr:col>9</xdr:col>
      <xdr:colOff>469900</xdr:colOff>
      <xdr:row>9</xdr:row>
      <xdr:rowOff>69850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6F2DE0E8-E820-2E1F-57B8-BCB26092637A}"/>
            </a:ext>
          </a:extLst>
        </xdr:cNvPr>
        <xdr:cNvSpPr/>
      </xdr:nvSpPr>
      <xdr:spPr>
        <a:xfrm>
          <a:off x="5848350" y="1619250"/>
          <a:ext cx="107950" cy="107950"/>
        </a:xfrm>
        <a:prstGeom prst="ellipse">
          <a:avLst/>
        </a:prstGeom>
        <a:solidFill>
          <a:schemeClr val="bg1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190500</xdr:colOff>
      <xdr:row>16</xdr:row>
      <xdr:rowOff>107950</xdr:rowOff>
    </xdr:from>
    <xdr:to>
      <xdr:col>13</xdr:col>
      <xdr:colOff>298450</xdr:colOff>
      <xdr:row>16</xdr:row>
      <xdr:rowOff>153669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9900BDA7-F838-4AEF-BBAE-E994BFED22ED}"/>
            </a:ext>
          </a:extLst>
        </xdr:cNvPr>
        <xdr:cNvSpPr/>
      </xdr:nvSpPr>
      <xdr:spPr>
        <a:xfrm>
          <a:off x="5676900" y="3054350"/>
          <a:ext cx="2546350" cy="45719"/>
        </a:xfrm>
        <a:prstGeom prst="roundRect">
          <a:avLst/>
        </a:prstGeom>
        <a:gradFill>
          <a:gsLst>
            <a:gs pos="7000">
              <a:schemeClr val="tx1">
                <a:lumMod val="95000"/>
                <a:lumOff val="5000"/>
              </a:schemeClr>
            </a:gs>
            <a:gs pos="52000">
              <a:schemeClr val="bg1">
                <a:lumMod val="50000"/>
              </a:schemeClr>
            </a:gs>
            <a:gs pos="93000">
              <a:schemeClr val="tx1">
                <a:lumMod val="95000"/>
                <a:lumOff val="5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gradFill flip="none" rotWithShape="1">
              <a:gsLst>
                <a:gs pos="0">
                  <a:schemeClr val="bg2">
                    <a:lumMod val="90000"/>
                  </a:schemeClr>
                </a:gs>
                <a:gs pos="52000">
                  <a:schemeClr val="bg2">
                    <a:lumMod val="50000"/>
                  </a:schemeClr>
                </a:gs>
                <a:gs pos="100000">
                  <a:schemeClr val="bg2">
                    <a:lumMod val="90000"/>
                  </a:schemeClr>
                </a:gs>
              </a:gsLst>
              <a:lin ang="0" scaled="0"/>
              <a:tileRect/>
            </a:gradFill>
          </a:endParaRPr>
        </a:p>
      </xdr:txBody>
    </xdr:sp>
    <xdr:clientData/>
  </xdr:twoCellAnchor>
  <xdr:twoCellAnchor>
    <xdr:from>
      <xdr:col>16</xdr:col>
      <xdr:colOff>304800</xdr:colOff>
      <xdr:row>4</xdr:row>
      <xdr:rowOff>6351</xdr:rowOff>
    </xdr:from>
    <xdr:to>
      <xdr:col>19</xdr:col>
      <xdr:colOff>274108</xdr:colOff>
      <xdr:row>9</xdr:row>
      <xdr:rowOff>165100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D8FBB1E9-BAD4-4F47-A4D5-B052C3076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590550</xdr:colOff>
      <xdr:row>4</xdr:row>
      <xdr:rowOff>12701</xdr:rowOff>
    </xdr:from>
    <xdr:to>
      <xdr:col>16</xdr:col>
      <xdr:colOff>559858</xdr:colOff>
      <xdr:row>9</xdr:row>
      <xdr:rowOff>171450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2ADE795B-E946-BB69-8DC6-FD65ADD29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139700</xdr:colOff>
      <xdr:row>11</xdr:row>
      <xdr:rowOff>165101</xdr:rowOff>
    </xdr:from>
    <xdr:to>
      <xdr:col>18</xdr:col>
      <xdr:colOff>109008</xdr:colOff>
      <xdr:row>17</xdr:row>
      <xdr:rowOff>139700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4722268B-94C0-C5A4-F314-2F6EBB834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114300</xdr:colOff>
      <xdr:row>9</xdr:row>
      <xdr:rowOff>57150</xdr:rowOff>
    </xdr:from>
    <xdr:to>
      <xdr:col>16</xdr:col>
      <xdr:colOff>476250</xdr:colOff>
      <xdr:row>11</xdr:row>
      <xdr:rowOff>114300</xdr:rowOff>
    </xdr:to>
    <xdr:sp macro="" textlink="Analysis01!AS14">
      <xdr:nvSpPr>
        <xdr:cNvPr id="98" name="TextBox 97">
          <a:extLst>
            <a:ext uri="{FF2B5EF4-FFF2-40B4-BE49-F238E27FC236}">
              <a16:creationId xmlns:a16="http://schemas.microsoft.com/office/drawing/2014/main" id="{C5D14259-A3B5-85AF-742D-51D055E4E242}"/>
            </a:ext>
          </a:extLst>
        </xdr:cNvPr>
        <xdr:cNvSpPr txBox="1"/>
      </xdr:nvSpPr>
      <xdr:spPr>
        <a:xfrm>
          <a:off x="8648700" y="171450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90C2CCB-4CCC-4B83-87FD-C3B099C18625}" type="TxLink"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Under-Utilized</a:t>
          </a:fld>
          <a:endParaRPr kumimoji="0" lang="en-US" sz="1200" b="1" i="0" u="none" strike="noStrike" kern="0" cap="none" spc="0" normalizeH="0" baseline="0" noProof="0">
            <a:ln>
              <a:noFill/>
            </a:ln>
            <a:solidFill>
              <a:srgbClr val="00B0F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279400</xdr:colOff>
      <xdr:row>16</xdr:row>
      <xdr:rowOff>171450</xdr:rowOff>
    </xdr:from>
    <xdr:to>
      <xdr:col>18</xdr:col>
      <xdr:colOff>31750</xdr:colOff>
      <xdr:row>19</xdr:row>
      <xdr:rowOff>44450</xdr:rowOff>
    </xdr:to>
    <xdr:sp macro="" textlink="Analysis01!AS15">
      <xdr:nvSpPr>
        <xdr:cNvPr id="99" name="TextBox 98">
          <a:extLst>
            <a:ext uri="{FF2B5EF4-FFF2-40B4-BE49-F238E27FC236}">
              <a16:creationId xmlns:a16="http://schemas.microsoft.com/office/drawing/2014/main" id="{FE64F1D6-A0CE-C6CE-097E-794896C4B9F8}"/>
            </a:ext>
          </a:extLst>
        </xdr:cNvPr>
        <xdr:cNvSpPr txBox="1"/>
      </xdr:nvSpPr>
      <xdr:spPr>
        <a:xfrm>
          <a:off x="9423400" y="31178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DEC0F5C-5CA1-4830-8E8D-01EDD0D5BA98}" type="TxLink"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Well-Utilized</a:t>
          </a:fld>
          <a:endParaRPr kumimoji="0" lang="en-US" sz="1200" b="1" i="0" u="none" strike="noStrike" kern="0" cap="none" spc="0" normalizeH="0" baseline="0" noProof="0">
            <a:ln>
              <a:noFill/>
            </a:ln>
            <a:solidFill>
              <a:srgbClr val="0070C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444500</xdr:colOff>
      <xdr:row>9</xdr:row>
      <xdr:rowOff>63500</xdr:rowOff>
    </xdr:from>
    <xdr:to>
      <xdr:col>19</xdr:col>
      <xdr:colOff>196850</xdr:colOff>
      <xdr:row>11</xdr:row>
      <xdr:rowOff>120650</xdr:rowOff>
    </xdr:to>
    <xdr:sp macro="" textlink="Analysis01!AS13">
      <xdr:nvSpPr>
        <xdr:cNvPr id="100" name="TextBox 99">
          <a:extLst>
            <a:ext uri="{FF2B5EF4-FFF2-40B4-BE49-F238E27FC236}">
              <a16:creationId xmlns:a16="http://schemas.microsoft.com/office/drawing/2014/main" id="{AE633B98-8BDF-77C0-95BA-D61FFB544040}"/>
            </a:ext>
          </a:extLst>
        </xdr:cNvPr>
        <xdr:cNvSpPr txBox="1"/>
      </xdr:nvSpPr>
      <xdr:spPr>
        <a:xfrm>
          <a:off x="10198100" y="17208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16727F7-DAC4-481F-B424-1FBBB9002EE5}" type="TxLink"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68B8B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Over-Utilized</a:t>
          </a:fld>
          <a:endParaRPr kumimoji="0" lang="en-US" sz="1200" b="1" i="0" u="none" strike="noStrike" kern="0" cap="none" spc="0" normalizeH="0" baseline="0" noProof="0">
            <a:ln>
              <a:noFill/>
            </a:ln>
            <a:solidFill>
              <a:srgbClr val="68B8B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120650</xdr:colOff>
      <xdr:row>10</xdr:row>
      <xdr:rowOff>107950</xdr:rowOff>
    </xdr:from>
    <xdr:to>
      <xdr:col>16</xdr:col>
      <xdr:colOff>482600</xdr:colOff>
      <xdr:row>12</xdr:row>
      <xdr:rowOff>165100</xdr:rowOff>
    </xdr:to>
    <xdr:sp macro="" textlink="Analysis01!AU7">
      <xdr:nvSpPr>
        <xdr:cNvPr id="101" name="TextBox 100">
          <a:extLst>
            <a:ext uri="{FF2B5EF4-FFF2-40B4-BE49-F238E27FC236}">
              <a16:creationId xmlns:a16="http://schemas.microsoft.com/office/drawing/2014/main" id="{BA67F31E-E213-F399-AFA3-722880E4AA46}"/>
            </a:ext>
          </a:extLst>
        </xdr:cNvPr>
        <xdr:cNvSpPr txBox="1"/>
      </xdr:nvSpPr>
      <xdr:spPr>
        <a:xfrm>
          <a:off x="8655050" y="194945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6708CA1-A259-4EAC-9915-EDF2C0F24F6E}" type="TxLink"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38 Total Buses </a:t>
          </a:fld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285750</xdr:colOff>
      <xdr:row>18</xdr:row>
      <xdr:rowOff>38100</xdr:rowOff>
    </xdr:from>
    <xdr:to>
      <xdr:col>18</xdr:col>
      <xdr:colOff>38100</xdr:colOff>
      <xdr:row>20</xdr:row>
      <xdr:rowOff>95250</xdr:rowOff>
    </xdr:to>
    <xdr:sp macro="" textlink="Analysis01!AU8">
      <xdr:nvSpPr>
        <xdr:cNvPr id="102" name="TextBox 101">
          <a:extLst>
            <a:ext uri="{FF2B5EF4-FFF2-40B4-BE49-F238E27FC236}">
              <a16:creationId xmlns:a16="http://schemas.microsoft.com/office/drawing/2014/main" id="{2ECDC93D-496E-3C2F-521C-E83FEEB594D0}"/>
            </a:ext>
          </a:extLst>
        </xdr:cNvPr>
        <xdr:cNvSpPr txBox="1"/>
      </xdr:nvSpPr>
      <xdr:spPr>
        <a:xfrm>
          <a:off x="9429750" y="335280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8EA29A2-8DD4-4A37-B565-4C5C34F79CE0}" type="TxLink"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8 Total Buses </a:t>
          </a:fld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450850</xdr:colOff>
      <xdr:row>10</xdr:row>
      <xdr:rowOff>114300</xdr:rowOff>
    </xdr:from>
    <xdr:to>
      <xdr:col>19</xdr:col>
      <xdr:colOff>203200</xdr:colOff>
      <xdr:row>12</xdr:row>
      <xdr:rowOff>171450</xdr:rowOff>
    </xdr:to>
    <xdr:sp macro="" textlink="Analysis01!AU6">
      <xdr:nvSpPr>
        <xdr:cNvPr id="103" name="TextBox 102">
          <a:extLst>
            <a:ext uri="{FF2B5EF4-FFF2-40B4-BE49-F238E27FC236}">
              <a16:creationId xmlns:a16="http://schemas.microsoft.com/office/drawing/2014/main" id="{0F0D74BC-E5E5-C271-6D9E-4CCA56294AEB}"/>
            </a:ext>
          </a:extLst>
        </xdr:cNvPr>
        <xdr:cNvSpPr txBox="1"/>
      </xdr:nvSpPr>
      <xdr:spPr>
        <a:xfrm>
          <a:off x="10204450" y="1955800"/>
          <a:ext cx="15811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96015F7-B602-4650-8216-EE01069A5F35}" type="TxLink"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20 Total Buses </a:t>
          </a:fld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285750</xdr:colOff>
      <xdr:row>2</xdr:row>
      <xdr:rowOff>50800</xdr:rowOff>
    </xdr:from>
    <xdr:to>
      <xdr:col>17</xdr:col>
      <xdr:colOff>0</xdr:colOff>
      <xdr:row>4</xdr:row>
      <xdr:rowOff>107950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1D81F6BE-F52B-3EDE-75DF-1E82A1141027}"/>
            </a:ext>
          </a:extLst>
        </xdr:cNvPr>
        <xdr:cNvSpPr txBox="1"/>
      </xdr:nvSpPr>
      <xdr:spPr>
        <a:xfrm>
          <a:off x="8820150" y="419100"/>
          <a:ext cx="15430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Bus Utilization Rate</a:t>
          </a:r>
        </a:p>
      </xdr:txBody>
    </xdr:sp>
    <xdr:clientData/>
  </xdr:twoCellAnchor>
  <xdr:twoCellAnchor>
    <xdr:from>
      <xdr:col>14</xdr:col>
      <xdr:colOff>228600</xdr:colOff>
      <xdr:row>3</xdr:row>
      <xdr:rowOff>38100</xdr:rowOff>
    </xdr:from>
    <xdr:to>
      <xdr:col>14</xdr:col>
      <xdr:colOff>336550</xdr:colOff>
      <xdr:row>3</xdr:row>
      <xdr:rowOff>146050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334A6A65-9415-BD9D-CD8B-C1F2282EA460}"/>
            </a:ext>
          </a:extLst>
        </xdr:cNvPr>
        <xdr:cNvSpPr/>
      </xdr:nvSpPr>
      <xdr:spPr>
        <a:xfrm>
          <a:off x="8763000" y="590550"/>
          <a:ext cx="107950" cy="107950"/>
        </a:xfrm>
        <a:prstGeom prst="ellipse">
          <a:avLst/>
        </a:prstGeom>
        <a:solidFill>
          <a:schemeClr val="bg1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266700</xdr:colOff>
      <xdr:row>20</xdr:row>
      <xdr:rowOff>177800</xdr:rowOff>
    </xdr:from>
    <xdr:to>
      <xdr:col>18</xdr:col>
      <xdr:colOff>501650</xdr:colOff>
      <xdr:row>23</xdr:row>
      <xdr:rowOff>50800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081A235-873A-D299-23AD-E004DD84D220}"/>
            </a:ext>
          </a:extLst>
        </xdr:cNvPr>
        <xdr:cNvSpPr txBox="1"/>
      </xdr:nvSpPr>
      <xdr:spPr>
        <a:xfrm>
          <a:off x="8801100" y="3860800"/>
          <a:ext cx="26733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Riders based on Moment of trip</a:t>
          </a:r>
        </a:p>
      </xdr:txBody>
    </xdr:sp>
    <xdr:clientData/>
  </xdr:twoCellAnchor>
  <xdr:twoCellAnchor>
    <xdr:from>
      <xdr:col>14</xdr:col>
      <xdr:colOff>209550</xdr:colOff>
      <xdr:row>21</xdr:row>
      <xdr:rowOff>165100</xdr:rowOff>
    </xdr:from>
    <xdr:to>
      <xdr:col>14</xdr:col>
      <xdr:colOff>317500</xdr:colOff>
      <xdr:row>22</xdr:row>
      <xdr:rowOff>88900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D172B161-86E0-43A8-55B2-3818B72F37E7}"/>
            </a:ext>
          </a:extLst>
        </xdr:cNvPr>
        <xdr:cNvSpPr/>
      </xdr:nvSpPr>
      <xdr:spPr>
        <a:xfrm>
          <a:off x="8743950" y="4032250"/>
          <a:ext cx="107950" cy="107950"/>
        </a:xfrm>
        <a:prstGeom prst="ellipse">
          <a:avLst/>
        </a:prstGeom>
        <a:solidFill>
          <a:schemeClr val="bg1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165100</xdr:colOff>
      <xdr:row>20</xdr:row>
      <xdr:rowOff>69850</xdr:rowOff>
    </xdr:from>
    <xdr:to>
      <xdr:col>19</xdr:col>
      <xdr:colOff>133350</xdr:colOff>
      <xdr:row>20</xdr:row>
      <xdr:rowOff>115569</xdr:rowOff>
    </xdr:to>
    <xdr:sp macro="" textlink="">
      <xdr:nvSpPr>
        <xdr:cNvPr id="108" name="Rectangle: Rounded Corners 107">
          <a:extLst>
            <a:ext uri="{FF2B5EF4-FFF2-40B4-BE49-F238E27FC236}">
              <a16:creationId xmlns:a16="http://schemas.microsoft.com/office/drawing/2014/main" id="{6F9BB3BE-B1D9-A201-0B5A-328655B7425B}"/>
            </a:ext>
          </a:extLst>
        </xdr:cNvPr>
        <xdr:cNvSpPr/>
      </xdr:nvSpPr>
      <xdr:spPr>
        <a:xfrm>
          <a:off x="8699500" y="3752850"/>
          <a:ext cx="3016250" cy="45719"/>
        </a:xfrm>
        <a:prstGeom prst="roundRect">
          <a:avLst/>
        </a:prstGeom>
        <a:gradFill>
          <a:gsLst>
            <a:gs pos="7000">
              <a:schemeClr val="tx1">
                <a:lumMod val="95000"/>
                <a:lumOff val="5000"/>
              </a:schemeClr>
            </a:gs>
            <a:gs pos="52000">
              <a:schemeClr val="bg1">
                <a:lumMod val="50000"/>
              </a:schemeClr>
            </a:gs>
            <a:gs pos="93000">
              <a:schemeClr val="tx1">
                <a:lumMod val="95000"/>
                <a:lumOff val="5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gradFill flip="none" rotWithShape="1">
              <a:gsLst>
                <a:gs pos="0">
                  <a:schemeClr val="bg2">
                    <a:lumMod val="90000"/>
                  </a:schemeClr>
                </a:gs>
                <a:gs pos="52000">
                  <a:schemeClr val="bg2">
                    <a:lumMod val="50000"/>
                  </a:schemeClr>
                </a:gs>
                <a:gs pos="100000">
                  <a:schemeClr val="bg2">
                    <a:lumMod val="90000"/>
                  </a:schemeClr>
                </a:gs>
              </a:gsLst>
              <a:lin ang="0" scaled="0"/>
              <a:tileRect/>
            </a:gradFill>
          </a:endParaRPr>
        </a:p>
      </xdr:txBody>
    </xdr:sp>
    <xdr:clientData/>
  </xdr:twoCellAnchor>
  <xdr:twoCellAnchor>
    <xdr:from>
      <xdr:col>14</xdr:col>
      <xdr:colOff>298450</xdr:colOff>
      <xdr:row>24</xdr:row>
      <xdr:rowOff>0</xdr:rowOff>
    </xdr:from>
    <xdr:to>
      <xdr:col>15</xdr:col>
      <xdr:colOff>184150</xdr:colOff>
      <xdr:row>26</xdr:row>
      <xdr:rowOff>127000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BE87C189-0C4F-D1CD-B65C-ADAF6E9E142F}"/>
            </a:ext>
          </a:extLst>
        </xdr:cNvPr>
        <xdr:cNvSpPr/>
      </xdr:nvSpPr>
      <xdr:spPr>
        <a:xfrm>
          <a:off x="8832850" y="4419600"/>
          <a:ext cx="495300" cy="495300"/>
        </a:xfrm>
        <a:prstGeom prst="roundRect">
          <a:avLst/>
        </a:prstGeom>
        <a:solidFill>
          <a:srgbClr val="68B8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304800</xdr:colOff>
      <xdr:row>27</xdr:row>
      <xdr:rowOff>114300</xdr:rowOff>
    </xdr:from>
    <xdr:to>
      <xdr:col>15</xdr:col>
      <xdr:colOff>190500</xdr:colOff>
      <xdr:row>30</xdr:row>
      <xdr:rowOff>57150</xdr:rowOff>
    </xdr:to>
    <xdr:sp macro="" textlink="">
      <xdr:nvSpPr>
        <xdr:cNvPr id="111" name="Rectangle: Rounded Corners 110">
          <a:extLst>
            <a:ext uri="{FF2B5EF4-FFF2-40B4-BE49-F238E27FC236}">
              <a16:creationId xmlns:a16="http://schemas.microsoft.com/office/drawing/2014/main" id="{607636CA-C334-0533-E0D7-29487E9D9940}"/>
            </a:ext>
          </a:extLst>
        </xdr:cNvPr>
        <xdr:cNvSpPr/>
      </xdr:nvSpPr>
      <xdr:spPr>
        <a:xfrm>
          <a:off x="8839200" y="5086350"/>
          <a:ext cx="495300" cy="4953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387350</xdr:colOff>
      <xdr:row>24</xdr:row>
      <xdr:rowOff>88900</xdr:rowOff>
    </xdr:from>
    <xdr:to>
      <xdr:col>15</xdr:col>
      <xdr:colOff>94604</xdr:colOff>
      <xdr:row>26</xdr:row>
      <xdr:rowOff>37454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27A85C5-771A-15FD-F2B9-607D12257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1750" y="4508500"/>
          <a:ext cx="316854" cy="316854"/>
        </a:xfrm>
        <a:prstGeom prst="rect">
          <a:avLst/>
        </a:prstGeom>
      </xdr:spPr>
    </xdr:pic>
    <xdr:clientData/>
  </xdr:twoCellAnchor>
  <xdr:twoCellAnchor editAs="oneCell">
    <xdr:from>
      <xdr:col>14</xdr:col>
      <xdr:colOff>330201</xdr:colOff>
      <xdr:row>27</xdr:row>
      <xdr:rowOff>158139</xdr:rowOff>
    </xdr:from>
    <xdr:to>
      <xdr:col>15</xdr:col>
      <xdr:colOff>133350</xdr:colOff>
      <xdr:row>30</xdr:row>
      <xdr:rowOff>18438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A039420-49FA-2EAA-CCCF-DD6F6099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4601" y="5130189"/>
          <a:ext cx="412749" cy="412749"/>
        </a:xfrm>
        <a:prstGeom prst="rect">
          <a:avLst/>
        </a:prstGeom>
      </xdr:spPr>
    </xdr:pic>
    <xdr:clientData/>
  </xdr:twoCellAnchor>
  <xdr:twoCellAnchor>
    <xdr:from>
      <xdr:col>15</xdr:col>
      <xdr:colOff>146050</xdr:colOff>
      <xdr:row>23</xdr:row>
      <xdr:rowOff>95250</xdr:rowOff>
    </xdr:from>
    <xdr:to>
      <xdr:col>17</xdr:col>
      <xdr:colOff>469900</xdr:colOff>
      <xdr:row>25</xdr:row>
      <xdr:rowOff>152400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6D815A26-402E-D3C6-BFCE-839DE0ACB4F4}"/>
            </a:ext>
          </a:extLst>
        </xdr:cNvPr>
        <xdr:cNvSpPr txBox="1"/>
      </xdr:nvSpPr>
      <xdr:spPr>
        <a:xfrm>
          <a:off x="9290050" y="4330700"/>
          <a:ext cx="15430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Riders by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68B8B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AM</a:t>
          </a:r>
        </a:p>
      </xdr:txBody>
    </xdr:sp>
    <xdr:clientData/>
  </xdr:twoCellAnchor>
  <xdr:twoCellAnchor>
    <xdr:from>
      <xdr:col>15</xdr:col>
      <xdr:colOff>152400</xdr:colOff>
      <xdr:row>27</xdr:row>
      <xdr:rowOff>25400</xdr:rowOff>
    </xdr:from>
    <xdr:to>
      <xdr:col>17</xdr:col>
      <xdr:colOff>476250</xdr:colOff>
      <xdr:row>29</xdr:row>
      <xdr:rowOff>82550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369A491-4937-E1AF-F324-EE43DDCC19E4}"/>
            </a:ext>
          </a:extLst>
        </xdr:cNvPr>
        <xdr:cNvSpPr txBox="1"/>
      </xdr:nvSpPr>
      <xdr:spPr>
        <a:xfrm>
          <a:off x="9296400" y="4997450"/>
          <a:ext cx="15430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Riders by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PM</a:t>
          </a:r>
        </a:p>
      </xdr:txBody>
    </xdr:sp>
    <xdr:clientData/>
  </xdr:twoCellAnchor>
  <xdr:twoCellAnchor>
    <xdr:from>
      <xdr:col>15</xdr:col>
      <xdr:colOff>146050</xdr:colOff>
      <xdr:row>24</xdr:row>
      <xdr:rowOff>158750</xdr:rowOff>
    </xdr:from>
    <xdr:to>
      <xdr:col>17</xdr:col>
      <xdr:colOff>469900</xdr:colOff>
      <xdr:row>27</xdr:row>
      <xdr:rowOff>31750</xdr:rowOff>
    </xdr:to>
    <xdr:sp macro="" textlink="Analysis01!AZ6">
      <xdr:nvSpPr>
        <xdr:cNvPr id="116" name="TextBox 115">
          <a:extLst>
            <a:ext uri="{FF2B5EF4-FFF2-40B4-BE49-F238E27FC236}">
              <a16:creationId xmlns:a16="http://schemas.microsoft.com/office/drawing/2014/main" id="{26A30CA9-93F8-B80E-9629-6E0F2FBE75A5}"/>
            </a:ext>
          </a:extLst>
        </xdr:cNvPr>
        <xdr:cNvSpPr txBox="1"/>
      </xdr:nvSpPr>
      <xdr:spPr>
        <a:xfrm>
          <a:off x="9290050" y="4578350"/>
          <a:ext cx="15430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2EB31B8-619E-4B1E-AA4A-340C2EFC248F}" type="TxLink"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rgbClr val="68B8B0"/>
              </a:solidFill>
              <a:effectLst/>
              <a:uLnTx/>
              <a:uFillTx/>
              <a:latin typeface="Aptos Narrow"/>
              <a:ea typeface="+mn-ea"/>
              <a:cs typeface="Arial" panose="020B0604020202020204" pitchFamily="34" charset="0"/>
            </a:rPr>
            <a:t>35.39%</a:t>
          </a:fld>
          <a:endParaRPr kumimoji="0" lang="en-US" sz="1800" b="1" i="0" u="none" strike="noStrike" kern="0" cap="none" spc="0" normalizeH="0" baseline="0" noProof="0">
            <a:ln>
              <a:noFill/>
            </a:ln>
            <a:solidFill>
              <a:srgbClr val="68B8B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152400</xdr:colOff>
      <xdr:row>28</xdr:row>
      <xdr:rowOff>101600</xdr:rowOff>
    </xdr:from>
    <xdr:to>
      <xdr:col>17</xdr:col>
      <xdr:colOff>476250</xdr:colOff>
      <xdr:row>30</xdr:row>
      <xdr:rowOff>158750</xdr:rowOff>
    </xdr:to>
    <xdr:sp macro="" textlink="Analysis01!AZ7">
      <xdr:nvSpPr>
        <xdr:cNvPr id="117" name="TextBox 116">
          <a:extLst>
            <a:ext uri="{FF2B5EF4-FFF2-40B4-BE49-F238E27FC236}">
              <a16:creationId xmlns:a16="http://schemas.microsoft.com/office/drawing/2014/main" id="{B15590D6-BE6F-AE5B-54D1-7DD099DA873C}"/>
            </a:ext>
          </a:extLst>
        </xdr:cNvPr>
        <xdr:cNvSpPr txBox="1"/>
      </xdr:nvSpPr>
      <xdr:spPr>
        <a:xfrm>
          <a:off x="9296400" y="5257800"/>
          <a:ext cx="15430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494AF21-B91F-4C13-8645-F953A3219153}" type="TxLink"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ptos Narrow"/>
              <a:ea typeface="+mn-ea"/>
              <a:cs typeface="Arial" panose="020B0604020202020204" pitchFamily="34" charset="0"/>
            </a:rPr>
            <a:t>64.61%</a:t>
          </a:fld>
          <a:endParaRPr kumimoji="0" lang="en-US" sz="1800" b="1" i="0" u="none" strike="noStrike" kern="0" cap="none" spc="0" normalizeH="0" baseline="0" noProof="0">
            <a:ln>
              <a:noFill/>
            </a:ln>
            <a:solidFill>
              <a:srgbClr val="0070C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0.33549</cdr:x>
      <cdr:y>0.31765</cdr:y>
    </cdr:from>
    <cdr:to>
      <cdr:x>0.62154</cdr:x>
      <cdr:y>0.6</cdr:y>
    </cdr:to>
    <cdr:sp macro="" textlink="Analysis01!$AT$1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EAB095F-7202-CB69-7FEC-2E3DF07ECAEC}"/>
            </a:ext>
          </a:extLst>
        </cdr:cNvPr>
        <cdr:cNvSpPr txBox="1"/>
      </cdr:nvSpPr>
      <cdr:spPr>
        <a:xfrm xmlns:a="http://schemas.openxmlformats.org/drawingml/2006/main">
          <a:off x="603250" y="342899"/>
          <a:ext cx="5143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7A69B6E7-D455-41B9-B90E-19BFCD596890}" type="TxLink">
            <a:rPr lang="en-US" sz="2000" b="1" i="0" u="none" strike="noStrike" kern="1200">
              <a:solidFill>
                <a:srgbClr val="68B8B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30%</a:t>
          </a:fld>
          <a:endParaRPr lang="en-US" sz="2000" b="1" kern="1200">
            <a:solidFill>
              <a:srgbClr val="68B8B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0.33902</cdr:x>
      <cdr:y>0.31765</cdr:y>
    </cdr:from>
    <cdr:to>
      <cdr:x>0.62507</cdr:x>
      <cdr:y>0.6</cdr:y>
    </cdr:to>
    <cdr:sp macro="" textlink="Analysis01!$AT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AF8964-F8CB-2639-7FFF-C146447A2347}"/>
            </a:ext>
          </a:extLst>
        </cdr:cNvPr>
        <cdr:cNvSpPr txBox="1"/>
      </cdr:nvSpPr>
      <cdr:spPr>
        <a:xfrm xmlns:a="http://schemas.openxmlformats.org/drawingml/2006/main">
          <a:off x="609600" y="342900"/>
          <a:ext cx="5143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fld id="{5FA31063-CBB3-40B5-996C-61D7EFD85035}" type="TxLink">
            <a:rPr lang="en-US" sz="2000" b="1" i="0" u="none" strike="noStrike" kern="1200">
              <a:solidFill>
                <a:srgbClr val="00B0F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/>
            <a:t>58%</a:t>
          </a:fld>
          <a:endParaRPr lang="en-US" sz="2000" b="1" i="0" u="none" strike="noStrike" kern="1200">
            <a:solidFill>
              <a:srgbClr val="00B0F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0.33196</cdr:x>
      <cdr:y>0.30588</cdr:y>
    </cdr:from>
    <cdr:to>
      <cdr:x>0.61801</cdr:x>
      <cdr:y>0.58824</cdr:y>
    </cdr:to>
    <cdr:sp macro="" textlink="Analysis01!$AT$15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361C52-29ED-2FBE-06C4-42DDF4C021A0}"/>
            </a:ext>
          </a:extLst>
        </cdr:cNvPr>
        <cdr:cNvSpPr txBox="1"/>
      </cdr:nvSpPr>
      <cdr:spPr>
        <a:xfrm xmlns:a="http://schemas.openxmlformats.org/drawingml/2006/main">
          <a:off x="596900" y="330200"/>
          <a:ext cx="5143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fld id="{E835B541-C495-4C38-B8B1-E73CE99EE7A4}" type="TxLink">
            <a:rPr lang="en-US" sz="2000" b="1" i="0" u="none" strike="noStrike" kern="1200">
              <a:solidFill>
                <a:srgbClr val="0070C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/>
            <a:t>12%</a:t>
          </a:fld>
          <a:endParaRPr lang="en-US" sz="2000" b="1" i="0" u="none" strike="noStrike" kern="1200">
            <a:solidFill>
              <a:srgbClr val="0070C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3020833" createdVersion="8" refreshedVersion="8" minRefreshableVersion="3" recordCount="0" supportSubquery="1" supportAdvancedDrill="1" xr:uid="{DB261BA9-0123-4717-9FE2-BDCB2642F415}">
  <cacheSource type="external" connectionId="7"/>
  <cacheFields count="5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Day Name].[Day Name]" caption="Day 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33217593" createdVersion="8" refreshedVersion="8" minRefreshableVersion="3" recordCount="0" supportSubquery="1" supportAdvancedDrill="1" xr:uid="{D85516C4-B683-41A7-A049-66AF80A33B9B}">
  <cacheSource type="external" connectionId="7"/>
  <cacheFields count="5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35648149" createdVersion="8" refreshedVersion="8" minRefreshableVersion="3" recordCount="0" supportSubquery="1" supportAdvancedDrill="1" xr:uid="{976EE78E-0CBA-4AF3-AEA3-FA4C79E30F53}">
  <cacheSource type="external" connectionId="7"/>
  <cacheFields count="6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  <cacheField name="Dummy0" numFmtId="0" hierarchy="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  <cacheHierarchy uniqueName="Dummy0" caption="Calculation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37731481" createdVersion="8" refreshedVersion="8" minRefreshableVersion="3" recordCount="0" supportSubquery="1" supportAdvancedDrill="1" xr:uid="{4273A9B4-4368-4FD7-8FC9-A9A30D445ACF}">
  <cacheSource type="external" connectionId="7"/>
  <cacheFields count="2">
    <cacheField name="[Measures].[Total Riders (Paseengers)]" caption="Total Riders (Paseengers)" numFmtId="0" hierarchy="46" level="32767"/>
    <cacheField name="[Measures].[Avg Riders Per Trip]" caption="Avg Riders Per Trip" numFmtId="0" hierarchy="47" level="32767"/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 oneField="1">
      <fieldsUsage count="1">
        <fieldUsage x="1"/>
      </fieldsUsage>
    </cacheHierarchy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39699074" createdVersion="8" refreshedVersion="8" minRefreshableVersion="3" recordCount="0" supportSubquery="1" supportAdvancedDrill="1" xr:uid="{37774A9F-11FD-49BA-8AFE-821DBDEB218C}">
  <cacheSource type="external" connectionId="7"/>
  <cacheFields count="2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41782407" createdVersion="8" refreshedVersion="8" minRefreshableVersion="3" recordCount="0" supportSubquery="1" supportAdvancedDrill="1" xr:uid="{626E4A2F-45B9-4267-B13D-2D14C337F6BF}">
  <cacheSource type="external" connectionId="7"/>
  <cacheFields count="2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South Line"/>
      </sharedItems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44328701" createdVersion="8" refreshedVersion="8" minRefreshableVersion="3" recordCount="0" supportSubquery="1" supportAdvancedDrill="1" xr:uid="{F1294A01-0477-4EF8-8ABC-90D0D1F99CC0}">
  <cacheSource type="external" connectionId="7"/>
  <cacheFields count="3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46296294" createdVersion="8" refreshedVersion="8" minRefreshableVersion="3" recordCount="0" supportSubquery="1" supportAdvancedDrill="1" xr:uid="{CFB278B7-6C7F-4C97-87C7-E35AF95C3BC5}">
  <cacheSource type="external" connectionId="7"/>
  <cacheFields count="4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  <cacheField name="[Facttable_ridership].[Time].[Time]" caption="Time" numFmtId="0" hierarchy="30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48611111" createdVersion="8" refreshedVersion="8" minRefreshableVersion="3" recordCount="0" supportSubquery="1" supportAdvancedDrill="1" xr:uid="{92DF8993-1E16-4E16-B0C2-26F1273F78EA}">
  <cacheSource type="external" connectionId="7"/>
  <cacheFields count="4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50925928" createdVersion="8" refreshedVersion="8" minRefreshableVersion="3" recordCount="0" supportSubquery="1" supportAdvancedDrill="1" xr:uid="{E96EC032-5F33-4606-B19C-FD6E4AC1495D}">
  <cacheSource type="external" connectionId="7"/>
  <cacheFields count="5">
    <cacheField name="[Measures].[Total Riders (Paseengers)]" caption="Total Riders (Paseengers)" numFmtId="0" hierarchy="46" level="32767"/>
    <cacheField name="[Dim_routes].[RouteName].[RouteName]" caption="RouteName" numFmtId="0" hierarchy="21" level="1">
      <sharedItems count="1">
        <s v="East-West Express"/>
      </sharedItems>
    </cacheField>
    <cacheField name="[Facttable_ridership].[Time-Group].[Time-Group]" caption="Time-Group" numFmtId="0" hierarchy="34" level="1">
      <sharedItems count="4">
        <s v="10:00 AM - 3:00 PM"/>
        <s v="3:00 PM - 8:00 PM"/>
        <s v="5:00 AM - 10:00 AM"/>
        <s v="8:00 PM - 13:00 PM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Month Name].[Month Name]" caption="Month Name" numFmtId="0" hierarchy="7" level="1">
      <sharedItems count="2">
        <s v="Jan"/>
        <s v="Dec"/>
      </sharedItems>
    </cacheField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58852893522" createdVersion="8" refreshedVersion="8" minRefreshableVersion="3" recordCount="0" supportSubquery="1" supportAdvancedDrill="1" xr:uid="{38DA8AFC-5C85-499B-8437-0C67A2C320B8}">
  <cacheSource type="external" connectionId="7"/>
  <cacheFields count="4">
    <cacheField name="[Dim_routes].[RouteName].[RouteName]" caption="RouteName" numFmtId="0" hierarchy="21" level="1">
      <sharedItems count="1">
        <s v="East-West Express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Facttable_ridership].[Bus Utilization Category].[Bus Utilization Category]" caption="Bus Utilization Category" numFmtId="0" hierarchy="37" level="1">
      <sharedItems count="3">
        <s v="Over-Utilized"/>
        <s v="Under-Utilized"/>
        <s v="Well-Utilized"/>
      </sharedItems>
    </cacheField>
    <cacheField name="[Measures].[Total Buses]" caption="Total Buses" numFmtId="0" hierarchy="48" level="32767"/>
  </cacheFields>
  <cacheHierarchies count="56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3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ffwan hassan" refreshedDate="45841.883253472224" createdVersion="8" refreshedVersion="8" minRefreshableVersion="3" recordCount="0" supportSubquery="1" supportAdvancedDrill="1" xr:uid="{113C5A80-F93E-44C0-A419-E1E4AEBAFE1D}">
  <cacheSource type="external" connectionId="7"/>
  <cacheFields count="5">
    <cacheField name="[Dim_routes].[RouteName].[RouteName]" caption="RouteName" numFmtId="0" hierarchy="21" level="1">
      <sharedItems count="1">
        <s v="East-West Express"/>
      </sharedItems>
    </cacheField>
    <cacheField name="[Facttable_ridership].[Time].[Time]" caption="Time" numFmtId="0" hierarchy="30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Facttable_ridership].[Operation Moment].[Operation Moment]" caption="Operation Moment" numFmtId="0" hierarchy="31" level="1">
      <sharedItems count="2">
        <s v="AM"/>
        <s v="PM"/>
      </sharedItems>
    </cacheField>
    <cacheField name="[Measures].[Total Riders (Paseengers)]" caption="Total Riders (Paseengers)" numFmtId="0" hierarchy="46" level="32767"/>
    <cacheField name="Dummy0" numFmtId="0" hierarchy="5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ateTable].[Date (Year)]" caption="Date (Year)" attribute="1" defaultMemberUniqueName="[Dim_DateTable].[Date (Year)].[All]" allUniqueName="[Dim_DateTable].[Date (Year)].[All]" dimensionUniqueName="[Dim_DateTable]" displayFolder="" count="0" memberValueDatatype="130" unbalanced="0"/>
    <cacheHierarchy uniqueName="[Dim_DateTable].[Date (Quarter)]" caption="Date (Quarter)" attribute="1" defaultMemberUniqueName="[Dim_DateTable].[Date (Quarter)].[All]" allUniqueName="[Dim_DateTable].[Date (Quarter)].[All]" dimensionUniqueName="[Dim_DateTable]" displayFolder="" count="0" memberValueDatatype="130" unbalanced="0"/>
    <cacheHierarchy uniqueName="[Dim_DateTable].[Date (Month)]" caption="Date (Month)" attribute="1" defaultMemberUniqueName="[Dim_DateTable].[Date (Month)].[All]" allUniqueName="[Dim_DateTable].[Date (Month)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-Group]" caption="Time-Group" attribute="1" defaultMemberUniqueName="[Facttable_ridership].[Time-Group].[All]" allUniqueName="[Facttable_ridership].[Time-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Dim_DateTable].[Date (Month Index)]" caption="Date (Month Index)" attribute="1" defaultMemberUniqueName="[Dim_DateTable].[Date (Month Index)].[All]" allUniqueName="[Dim_DateTable].[Date (Month Index)].[All]" dimensionUniqueName="[Dim_DateTable]" displayFolder="" count="0" memberValueDatatype="20" unbalanced="0" hidden="1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eengers)]" caption="Total Riders (Paseengers)" measure="1" displayFolder="" measureGroup="Calculations" count="0" oneField="1">
      <fieldsUsage count="1">
        <fieldUsage x="3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  <cacheHierarchy uniqueName="Dummy0" caption="Calculation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CF898-5901-46B3-AF0B-B82368FC91A1}" name="PivotTable23" cacheId="447" applyNumberFormats="0" applyBorderFormats="0" applyFontFormats="0" applyPatternFormats="0" applyAlignmentFormats="0" applyWidthHeightFormats="1" dataCaption="Values" tag="7e6a0cc0-34f3-48c8-b602-ee8edbead763" updatedVersion="8" minRefreshableVersion="3" useAutoFormatting="1" subtotalHiddenItems="1" rowGrandTotals="0" colGrandTotals="0" itemPrintTitles="1" createdVersion="8" indent="0" compact="0" compactData="0" multipleFieldFilters="0" chartFormat="20">
  <location ref="AY5:BA7" firstHeaderRow="0" firstDataRow="1" firstDataCol="1"/>
  <pivotFields count="5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fld="3" subtotal="count" showDataAs="percentOfTotal" baseField="0" baseItem="0" numFmtId="10"/>
    <dataField name="Total Riders (Paseengers)2" fld="4" subtotal="count" baseField="0" baseItem="0">
      <extLst>
        <ext xmlns:x14="http://schemas.microsoft.com/office/spreadsheetml/2009/9/main" uri="{E15A36E0-9728-4e99-A89B-3F7291B0FE68}">
          <x14:dataField sourceField="3" uniqueName="[__Xl2].[Measures].[Total Riders (Paseengers)]"/>
        </ext>
      </extLst>
    </dataField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2">
    <filter fld="0" type="count" id="1" iMeasureHier="46">
      <autoFilter ref="A1">
        <filterColumn colId="0">
          <top10 val="1" filterVal="1"/>
        </filterColumn>
      </autoFilter>
    </filter>
    <filter fld="1" type="count" id="4" iMeasureHier="46">
      <autoFilter ref="A1">
        <filterColumn colId="0">
          <top10 top="0" val="1" filterVal="1"/>
        </filterColumn>
      </autoFilter>
    </filter>
  </filters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2F460-5BD8-4E06-9412-3587F5C87666}" name="PivotTable22" cacheId="428" applyNumberFormats="0" applyBorderFormats="0" applyFontFormats="0" applyPatternFormats="0" applyAlignmentFormats="0" applyWidthHeightFormats="1" dataCaption="Values" tag="71b1ef5d-5b70-4ccb-b6cf-c0590552cfec" updatedVersion="8" minRefreshableVersion="3" useAutoFormatting="1" subtotalHiddenItems="1" rowGrandTotals="0" colGrandTotals="0" itemPrintTitles="1" createdVersion="8" indent="0" compact="0" compactData="0" multipleFieldFilters="0" chartFormat="20">
  <location ref="AS5:AT8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fld="3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6">
      <autoFilter ref="A1">
        <filterColumn colId="0">
          <top10 val="1" filterVal="1"/>
        </filterColumn>
      </autoFilter>
    </filter>
    <filter fld="1" type="count" id="4" iMeasureHier="46">
      <autoFilter ref="A1">
        <filterColumn colId="0">
          <top10 top="0" val="1" filterVal="1"/>
        </filterColumn>
      </autoFilter>
    </filter>
  </filters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3666C-A899-4D5E-BF30-845FB0B88C06}" name="PivotTable21" cacheId="425" applyNumberFormats="0" applyBorderFormats="0" applyFontFormats="0" applyPatternFormats="0" applyAlignmentFormats="0" applyWidthHeightFormats="1" dataCaption="Values" tag="06452e22-841e-4a79-a571-6402a8d5a47b" updatedVersion="8" minRefreshableVersion="3" useAutoFormatting="1" subtotalHiddenItems="1" rowGrandTotals="0" colGrandTotals="0" itemPrintTitles="1" createdVersion="8" indent="0" compact="0" compactData="0" multipleFieldFilters="0" chartFormat="20">
  <location ref="AN5:AO7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6">
      <autoFilter ref="A1">
        <filterColumn colId="0">
          <top10 val="1" filterVal="1"/>
        </filterColumn>
      </autoFilter>
    </filter>
    <filter fld="3" type="count" id="4" iMeasureHier="46">
      <autoFilter ref="A1">
        <filterColumn colId="0">
          <top10 top="0" val="1" filterVal="1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C9C73-C650-48A9-840D-49E0CEE03FE9}" name="PivotTable12" cacheId="398" applyNumberFormats="0" applyBorderFormats="0" applyFontFormats="0" applyPatternFormats="0" applyAlignmentFormats="0" applyWidthHeightFormats="1" dataCaption="Values" tag="60b08d05-3729-4b96-86f8-e91ae08f32d1" updatedVersion="8" minRefreshableVersion="3" useAutoFormatting="1" subtotalHiddenItems="1" rowGrandTotals="0" colGrandTotals="0" itemPrintTitles="1" createdVersion="8" indent="0" compact="0" compactData="0" multipleFieldFilters="0" chartFormat="13">
  <location ref="Z5:AA12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6">
      <autoFilter ref="A1">
        <filterColumn colId="0">
          <top10 val="1" filterVal="1"/>
        </filterColumn>
      </autoFilter>
    </filter>
    <filter fld="3" type="count" id="4" iMeasureHier="46">
      <autoFilter ref="A1">
        <filterColumn colId="0">
          <top10 top="0"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8CFE8-669C-467D-B446-2F464771BEE7}" name="PivotTable11" cacheId="404" applyNumberFormats="0" applyBorderFormats="0" applyFontFormats="0" applyPatternFormats="0" applyAlignmentFormats="0" applyWidthHeightFormats="1" dataCaption="Values" tag="6f30fd82-e947-4d91-a8dc-80bff403ba9b" updatedVersion="8" minRefreshableVersion="3" useAutoFormatting="1" subtotalHiddenItems="1" rowGrandTotals="0" colGrandTotals="0" itemPrintTitles="1" createdVersion="8" indent="0" compact="0" compactData="0" multipleFieldFilters="0" chartFormat="4">
  <location ref="S13:U15" firstHeaderRow="0" firstDataRow="1" firstDataCol="1"/>
  <pivotFields count="6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Total Riders (Paseengers)2" fld="5" subtotal="count" showDataAs="percentDiff" baseField="4" baseItem="0" numFmtId="10">
      <extLst>
        <ext xmlns:x14="http://schemas.microsoft.com/office/spreadsheetml/2009/9/main" uri="{E15A36E0-9728-4e99-A89B-3F7291B0FE68}">
          <x14:dataField sourceField="0" uniqueName="[__Xl2].[Measures].[Total Riders (Paseengers)]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2">
    <filter fld="1" type="count" id="1" iMeasureHier="46">
      <autoFilter ref="A1">
        <filterColumn colId="0">
          <top10 val="1" filterVal="1"/>
        </filterColumn>
      </autoFilter>
    </filter>
    <filter fld="3" type="count" id="4" iMeasureHier="46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C6184-5A16-4C87-9A83-53C587AE9B4E}" name="PivotTable10" cacheId="401" applyNumberFormats="0" applyBorderFormats="0" applyFontFormats="0" applyPatternFormats="0" applyAlignmentFormats="0" applyWidthHeightFormats="1" dataCaption="Values" tag="26b13e21-d4f3-4b5e-a370-94a095460a2b" updatedVersion="8" minRefreshableVersion="3" useAutoFormatting="1" subtotalHiddenItems="1" rowGrandTotals="0" colGrandTotals="0" itemPrintTitles="1" createdVersion="8" indent="0" compact="0" compactData="0" multipleFieldFilters="0" chartFormat="10">
  <location ref="S5:T7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6">
      <autoFilter ref="A1">
        <filterColumn colId="0">
          <top10 val="1" filterVal="1"/>
        </filterColumn>
      </autoFilter>
    </filter>
    <filter fld="3" type="count" id="4" iMeasureHier="46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C59D9-A104-4998-9204-95C1FCB7BDA9}" name="PivotTable9" cacheId="422" applyNumberFormats="0" applyBorderFormats="0" applyFontFormats="0" applyPatternFormats="0" applyAlignmentFormats="0" applyWidthHeightFormats="1" dataCaption="Values" tag="ef68ceeb-b0c4-46de-84c7-86fcc55fe2e3" updatedVersion="8" minRefreshableVersion="3" useAutoFormatting="1" subtotalHiddenItems="1" rowGrandTotals="0" colGrandTotals="0" itemPrintTitles="1" createdVersion="8" indent="0" compact="0" compactData="0" multipleFieldFilters="0" chartFormat="4">
  <location ref="J13:K14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3" type="count" id="4" iMeasureHier="46">
      <autoFilter ref="A1">
        <filterColumn colId="0">
          <top10 top="0" val="1" filterVal="1"/>
        </filterColumn>
      </autoFilter>
    </filter>
    <filter fld="1" type="count" id="1" iMeasureHier="46">
      <autoFilter ref="A1">
        <filterColumn colId="0">
          <top10 val="1" filterVal="1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E0541-6773-46FF-B4E3-BC14677DF829}" name="PivotTable8" cacheId="419" applyNumberFormats="0" applyBorderFormats="0" applyFontFormats="0" applyPatternFormats="0" applyAlignmentFormats="0" applyWidthHeightFormats="1" dataCaption="Values" tag="10d24746-5f26-4493-94c0-1ac39f71266b" updatedVersion="8" minRefreshableVersion="3" useAutoFormatting="1" subtotalHiddenItems="1" rowGrandTotals="0" colGrandTotals="0" itemPrintTitles="1" createdVersion="8" indent="0" compact="0" compactData="0" multipleFieldFilters="0" chartFormat="4">
  <location ref="G13:H14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3" type="count" id="3" iMeasureHier="46">
      <autoFilter ref="A1">
        <filterColumn colId="0">
          <top10 val="1" filterVal="1"/>
        </filterColumn>
      </autoFilter>
    </filter>
    <filter fld="1" type="count" id="1" iMeasureHier="46">
      <autoFilter ref="A1">
        <filterColumn colId="0">
          <top10 val="1" filterVal="1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2E128-0F28-4932-8387-86147C7872AF}" name="PivotTable7" cacheId="416" applyNumberFormats="0" applyBorderFormats="0" applyFontFormats="0" applyPatternFormats="0" applyAlignmentFormats="0" applyWidthHeightFormats="1" dataCaption="Values" tag="3ac395a3-0b93-4ac7-afa0-c966e657f927" updatedVersion="8" minRefreshableVersion="3" useAutoFormatting="1" rowGrandTotals="0" colGrandTotals="0" itemPrintTitles="1" createdVersion="8" indent="0" compact="0" compactData="0" multipleFieldFilters="0" chartFormat="4">
  <location ref="G4:H8" firstHeaderRow="1" firstDataRow="1" firstDataCol="1"/>
  <pivotFields count="3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/>
    </i>
    <i>
      <x v="3"/>
    </i>
    <i>
      <x v="1"/>
    </i>
    <i>
      <x v="2"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6">
      <autoFilter ref="A1">
        <filterColumn colId="0">
          <top10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3E8AE-4C89-43C5-994D-9C0E0C794B7F}" name="PivotTable5" cacheId="413" applyNumberFormats="0" applyBorderFormats="0" applyFontFormats="0" applyPatternFormats="0" applyAlignmentFormats="0" applyWidthHeightFormats="1" dataCaption="Values" tag="c2ef3618-6e0b-4c23-a537-a6165108f274" updatedVersion="8" minRefreshableVersion="3" useAutoFormatting="1" rowGrandTotals="0" colGrandTotals="0" itemPrintTitles="1" createdVersion="8" indent="0" compact="0" compactData="0" multipleFieldFilters="0">
  <location ref="B11:C1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6">
      <autoFilter ref="A1">
        <filterColumn colId="0">
          <top10 top="0" val="1" filterVal="1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584B5-21EA-4C77-91E0-F22F48B6BF70}" name="PivotTable4" cacheId="410" applyNumberFormats="0" applyBorderFormats="0" applyFontFormats="0" applyPatternFormats="0" applyAlignmentFormats="0" applyWidthHeightFormats="1" dataCaption="Values" tag="c9f54aeb-a7f6-4ad2-9d3f-7bd6cac8db98" updatedVersion="8" minRefreshableVersion="3" useAutoFormatting="1" rowGrandTotals="0" colGrandTotals="0" itemPrintTitles="1" createdVersion="8" indent="0" compact="0" compactData="0" multipleFieldFilters="0">
  <location ref="B7:C8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6">
      <autoFilter ref="A1">
        <filterColumn colId="0">
          <top10 val="1" filterVal="1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5A55-9952-4D63-98DC-859B903E7E1E}" name="PivotTable3" cacheId="407" applyNumberFormats="0" applyBorderFormats="0" applyFontFormats="0" applyPatternFormats="0" applyAlignmentFormats="0" applyWidthHeightFormats="1" dataCaption="Values" tag="9c18cde4-1812-46c9-968a-37a47d6dd7a8" updatedVersion="8" minRefreshableVersion="3" useAutoFormatting="1" itemPrintTitles="1" createdVersion="8" indent="0" outline="1" outlineData="1" multipleFieldFilters="0">
  <location ref="B2:C3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3C2B-ECA4-4568-B171-D8BBECB23820}">
  <dimension ref="B2:BA26"/>
  <sheetViews>
    <sheetView topLeftCell="AS1" workbookViewId="0">
      <selection activeCell="AX6" sqref="AX6"/>
    </sheetView>
  </sheetViews>
  <sheetFormatPr defaultRowHeight="14.5" x14ac:dyDescent="0.35"/>
  <cols>
    <col min="2" max="2" width="12.90625" bestFit="1" customWidth="1"/>
    <col min="3" max="3" width="22.08984375" bestFit="1" customWidth="1"/>
    <col min="4" max="4" width="9.08984375" customWidth="1"/>
    <col min="5" max="5" width="3.36328125" style="4" customWidth="1"/>
    <col min="7" max="7" width="9.81640625" bestFit="1" customWidth="1"/>
    <col min="8" max="8" width="22.08984375" bestFit="1" customWidth="1"/>
    <col min="9" max="9" width="14.6328125" bestFit="1" customWidth="1"/>
    <col min="10" max="10" width="9.81640625" bestFit="1" customWidth="1"/>
    <col min="11" max="11" width="22.08984375" bestFit="1" customWidth="1"/>
    <col min="12" max="16" width="4.54296875" bestFit="1" customWidth="1"/>
    <col min="17" max="17" width="4.54296875" style="7" bestFit="1" customWidth="1"/>
    <col min="18" max="18" width="4.54296875" bestFit="1" customWidth="1"/>
    <col min="19" max="19" width="6.81640625" bestFit="1" customWidth="1"/>
    <col min="20" max="20" width="22.08984375" bestFit="1" customWidth="1"/>
    <col min="21" max="21" width="23.08984375" bestFit="1" customWidth="1"/>
    <col min="22" max="22" width="4.54296875" customWidth="1"/>
    <col min="23" max="23" width="4.54296875" style="4" customWidth="1"/>
    <col min="24" max="25" width="4.54296875" customWidth="1"/>
    <col min="26" max="26" width="11.54296875" bestFit="1" customWidth="1"/>
    <col min="27" max="27" width="22.08984375" bestFit="1" customWidth="1"/>
    <col min="28" max="29" width="9.26953125" bestFit="1" customWidth="1"/>
    <col min="30" max="30" width="21.6328125" bestFit="1" customWidth="1"/>
    <col min="31" max="31" width="10.26953125" bestFit="1" customWidth="1"/>
    <col min="32" max="32" width="12.90625" bestFit="1" customWidth="1"/>
    <col min="33" max="37" width="10.26953125" bestFit="1" customWidth="1"/>
    <col min="38" max="38" width="5" style="4" customWidth="1"/>
    <col min="39" max="39" width="10.26953125" bestFit="1" customWidth="1"/>
    <col min="40" max="40" width="13.6328125" bestFit="1" customWidth="1"/>
    <col min="41" max="41" width="22.08984375" bestFit="1" customWidth="1"/>
    <col min="42" max="42" width="10.26953125" bestFit="1" customWidth="1"/>
    <col min="43" max="43" width="3.81640625" style="4" customWidth="1"/>
    <col min="44" max="44" width="10.26953125" bestFit="1" customWidth="1"/>
    <col min="45" max="45" width="23.08984375" bestFit="1" customWidth="1"/>
    <col min="46" max="48" width="10.26953125" bestFit="1" customWidth="1"/>
    <col min="49" max="49" width="3.81640625" style="4" customWidth="1"/>
    <col min="50" max="50" width="10.26953125" bestFit="1" customWidth="1"/>
    <col min="51" max="51" width="18.6328125" bestFit="1" customWidth="1"/>
    <col min="52" max="52" width="22.08984375" bestFit="1" customWidth="1"/>
    <col min="53" max="53" width="23.08984375" bestFit="1" customWidth="1"/>
    <col min="54" max="57" width="8.26953125" bestFit="1" customWidth="1"/>
    <col min="58" max="196" width="14.6328125" bestFit="1" customWidth="1"/>
  </cols>
  <sheetData>
    <row r="2" spans="2:53" x14ac:dyDescent="0.35">
      <c r="B2" t="s">
        <v>0</v>
      </c>
      <c r="C2" t="s">
        <v>1</v>
      </c>
    </row>
    <row r="3" spans="2:53" x14ac:dyDescent="0.35">
      <c r="B3" s="3">
        <v>6587</v>
      </c>
      <c r="C3" s="3">
        <v>32.935000000000002</v>
      </c>
    </row>
    <row r="4" spans="2:53" x14ac:dyDescent="0.35">
      <c r="G4" s="1" t="s">
        <v>8</v>
      </c>
      <c r="H4" t="s">
        <v>0</v>
      </c>
    </row>
    <row r="5" spans="2:53" x14ac:dyDescent="0.35">
      <c r="G5" t="s">
        <v>9</v>
      </c>
      <c r="H5" s="3">
        <v>2243</v>
      </c>
      <c r="I5" s="3"/>
      <c r="J5" s="3"/>
      <c r="S5" s="1" t="s">
        <v>16</v>
      </c>
      <c r="T5" t="s">
        <v>0</v>
      </c>
      <c r="Z5" s="1" t="s">
        <v>24</v>
      </c>
      <c r="AA5" t="s">
        <v>0</v>
      </c>
      <c r="AC5" s="8" t="str">
        <f>Z5</f>
        <v>Day Name</v>
      </c>
      <c r="AD5" s="8" t="str">
        <f>AA5</f>
        <v>Total Riders (Paseengers)</v>
      </c>
      <c r="AE5" s="8" t="s">
        <v>33</v>
      </c>
      <c r="AF5" s="8" t="s">
        <v>34</v>
      </c>
      <c r="AN5" s="1" t="s">
        <v>36</v>
      </c>
      <c r="AO5" t="s">
        <v>0</v>
      </c>
      <c r="AS5" s="1" t="s">
        <v>37</v>
      </c>
      <c r="AT5" t="s">
        <v>41</v>
      </c>
      <c r="AY5" s="1" t="s">
        <v>44</v>
      </c>
      <c r="AZ5" t="s">
        <v>0</v>
      </c>
      <c r="BA5" t="s">
        <v>2</v>
      </c>
    </row>
    <row r="6" spans="2:53" x14ac:dyDescent="0.35">
      <c r="B6" t="s">
        <v>5</v>
      </c>
      <c r="G6" t="s">
        <v>12</v>
      </c>
      <c r="H6" s="3">
        <v>1653</v>
      </c>
      <c r="I6" s="3"/>
      <c r="J6" s="3"/>
      <c r="S6">
        <v>2023</v>
      </c>
      <c r="T6" s="3">
        <v>5654</v>
      </c>
      <c r="Z6" t="s">
        <v>28</v>
      </c>
      <c r="AA6" s="3">
        <v>1185</v>
      </c>
      <c r="AC6" t="str">
        <f t="shared" ref="AC6:AD12" si="0">Z6</f>
        <v>Sun</v>
      </c>
      <c r="AD6">
        <f t="shared" si="0"/>
        <v>1185</v>
      </c>
      <c r="AE6">
        <f>AVERAGE($AD$6:$AD$12)</f>
        <v>941</v>
      </c>
      <c r="AF6">
        <f>IF(AD6&gt;AE6,AD6,"")</f>
        <v>1185</v>
      </c>
      <c r="AN6" t="s">
        <v>23</v>
      </c>
      <c r="AO6" s="3">
        <v>933</v>
      </c>
      <c r="AS6" t="s">
        <v>38</v>
      </c>
      <c r="AT6" s="3">
        <v>20</v>
      </c>
      <c r="AU6" t="str">
        <f>AT6&amp;" Total Buses "</f>
        <v xml:space="preserve">20 Total Buses </v>
      </c>
      <c r="AY6" t="s">
        <v>45</v>
      </c>
      <c r="AZ6" s="9">
        <v>0.35387885228480342</v>
      </c>
      <c r="BA6" s="3">
        <v>2331</v>
      </c>
    </row>
    <row r="7" spans="2:53" x14ac:dyDescent="0.35">
      <c r="B7" s="1" t="s">
        <v>6</v>
      </c>
      <c r="C7" t="s">
        <v>0</v>
      </c>
      <c r="G7" t="s">
        <v>10</v>
      </c>
      <c r="H7" s="3">
        <v>1346</v>
      </c>
      <c r="I7" s="3"/>
      <c r="J7" s="3"/>
      <c r="S7">
        <v>2024</v>
      </c>
      <c r="T7" s="3">
        <v>933</v>
      </c>
      <c r="Z7" t="s">
        <v>26</v>
      </c>
      <c r="AA7" s="3">
        <v>1085</v>
      </c>
      <c r="AC7" t="str">
        <f t="shared" si="0"/>
        <v>Mon</v>
      </c>
      <c r="AD7">
        <f t="shared" si="0"/>
        <v>1085</v>
      </c>
      <c r="AE7">
        <f t="shared" ref="AE7:AE12" si="1">AVERAGE($AD$6:$AD$12)</f>
        <v>941</v>
      </c>
      <c r="AF7">
        <f>IF(AD7&gt;AE7,AD7,"")</f>
        <v>1085</v>
      </c>
      <c r="AN7" t="s">
        <v>22</v>
      </c>
      <c r="AO7" s="3">
        <v>5654</v>
      </c>
      <c r="AS7" t="s">
        <v>39</v>
      </c>
      <c r="AT7" s="3">
        <v>38</v>
      </c>
      <c r="AU7" t="str">
        <f t="shared" ref="AU7:AU8" si="2">AT7&amp;" Total Buses "</f>
        <v xml:space="preserve">38 Total Buses </v>
      </c>
      <c r="AY7" t="s">
        <v>46</v>
      </c>
      <c r="AZ7" s="9">
        <v>0.64612114771519658</v>
      </c>
      <c r="BA7" s="3">
        <v>4256</v>
      </c>
    </row>
    <row r="8" spans="2:53" x14ac:dyDescent="0.35">
      <c r="B8" t="s">
        <v>3</v>
      </c>
      <c r="C8" s="3">
        <v>1322</v>
      </c>
      <c r="G8" t="s">
        <v>11</v>
      </c>
      <c r="H8" s="3">
        <v>1345</v>
      </c>
      <c r="I8" s="3"/>
      <c r="J8" s="3"/>
      <c r="Z8" t="s">
        <v>30</v>
      </c>
      <c r="AA8" s="3">
        <v>983</v>
      </c>
      <c r="AC8" t="str">
        <f t="shared" si="0"/>
        <v>Tue</v>
      </c>
      <c r="AD8">
        <f t="shared" si="0"/>
        <v>983</v>
      </c>
      <c r="AE8">
        <f t="shared" si="1"/>
        <v>941</v>
      </c>
      <c r="AF8">
        <f>IF(AD8&gt;AE8,AD8,"")</f>
        <v>983</v>
      </c>
      <c r="AS8" t="s">
        <v>40</v>
      </c>
      <c r="AT8" s="3">
        <v>8</v>
      </c>
      <c r="AU8" t="str">
        <f t="shared" si="2"/>
        <v xml:space="preserve">8 Total Buses </v>
      </c>
    </row>
    <row r="9" spans="2:53" x14ac:dyDescent="0.35">
      <c r="Z9" t="s">
        <v>31</v>
      </c>
      <c r="AA9" s="3">
        <v>887</v>
      </c>
      <c r="AC9" t="str">
        <f t="shared" si="0"/>
        <v>Wed</v>
      </c>
      <c r="AD9">
        <f t="shared" si="0"/>
        <v>887</v>
      </c>
      <c r="AE9">
        <f t="shared" si="1"/>
        <v>941</v>
      </c>
      <c r="AF9" t="str">
        <f t="shared" ref="AF7:AF12" si="3">IF(AD9&gt;AE9,AD9,"")</f>
        <v/>
      </c>
    </row>
    <row r="10" spans="2:53" x14ac:dyDescent="0.35">
      <c r="B10" t="s">
        <v>7</v>
      </c>
      <c r="H10" s="3">
        <f>SUM(H5:H8)</f>
        <v>6587</v>
      </c>
      <c r="I10" s="3"/>
      <c r="J10" s="3"/>
      <c r="Z10" t="s">
        <v>29</v>
      </c>
      <c r="AA10" s="3">
        <v>889</v>
      </c>
      <c r="AC10" t="str">
        <f t="shared" si="0"/>
        <v>Thu</v>
      </c>
      <c r="AD10">
        <f t="shared" si="0"/>
        <v>889</v>
      </c>
      <c r="AE10">
        <f t="shared" si="1"/>
        <v>941</v>
      </c>
      <c r="AF10" t="str">
        <f t="shared" si="3"/>
        <v/>
      </c>
    </row>
    <row r="11" spans="2:53" x14ac:dyDescent="0.35">
      <c r="B11" s="1" t="s">
        <v>6</v>
      </c>
      <c r="C11" t="s">
        <v>0</v>
      </c>
      <c r="Z11" t="s">
        <v>25</v>
      </c>
      <c r="AA11" s="3">
        <v>762</v>
      </c>
      <c r="AC11" t="str">
        <f t="shared" si="0"/>
        <v>Fri</v>
      </c>
      <c r="AD11">
        <f t="shared" si="0"/>
        <v>762</v>
      </c>
      <c r="AE11">
        <f t="shared" si="1"/>
        <v>941</v>
      </c>
      <c r="AF11" t="str">
        <f t="shared" si="3"/>
        <v/>
      </c>
    </row>
    <row r="12" spans="2:53" x14ac:dyDescent="0.35">
      <c r="B12" t="s">
        <v>4</v>
      </c>
      <c r="C12" s="3">
        <v>185</v>
      </c>
      <c r="G12" t="s">
        <v>14</v>
      </c>
      <c r="J12" t="s">
        <v>15</v>
      </c>
      <c r="Z12" t="s">
        <v>27</v>
      </c>
      <c r="AA12" s="3">
        <v>796</v>
      </c>
      <c r="AC12" t="str">
        <f t="shared" si="0"/>
        <v>Sat</v>
      </c>
      <c r="AD12">
        <f t="shared" si="0"/>
        <v>796</v>
      </c>
      <c r="AE12">
        <f t="shared" si="1"/>
        <v>941</v>
      </c>
      <c r="AF12" t="str">
        <f t="shared" si="3"/>
        <v/>
      </c>
      <c r="AS12" s="2" t="s">
        <v>37</v>
      </c>
      <c r="AT12" t="s">
        <v>42</v>
      </c>
      <c r="AU12" t="s">
        <v>43</v>
      </c>
    </row>
    <row r="13" spans="2:53" x14ac:dyDescent="0.35">
      <c r="G13" s="1" t="s">
        <v>13</v>
      </c>
      <c r="H13" t="s">
        <v>0</v>
      </c>
      <c r="J13" s="1" t="s">
        <v>13</v>
      </c>
      <c r="K13" t="s">
        <v>0</v>
      </c>
      <c r="Q13" s="4"/>
      <c r="S13" s="1" t="s">
        <v>16</v>
      </c>
      <c r="T13" t="s">
        <v>0</v>
      </c>
      <c r="U13" t="s">
        <v>2</v>
      </c>
      <c r="AS13" t="s">
        <v>38</v>
      </c>
      <c r="AT13" s="10">
        <f>AT6/SUM($AT$6:$AT$8)</f>
        <v>0.30303030303030304</v>
      </c>
      <c r="AU13" s="10">
        <f>1-AT13</f>
        <v>0.69696969696969702</v>
      </c>
    </row>
    <row r="14" spans="2:53" x14ac:dyDescent="0.35">
      <c r="G14" s="6">
        <v>0.87291666666666667</v>
      </c>
      <c r="H14" s="3">
        <v>80</v>
      </c>
      <c r="J14" s="6">
        <v>0.82638888888888884</v>
      </c>
      <c r="K14" s="3">
        <v>15</v>
      </c>
      <c r="Q14" s="4"/>
      <c r="S14">
        <v>2023</v>
      </c>
      <c r="T14" s="3">
        <v>5654</v>
      </c>
      <c r="U14" s="9"/>
      <c r="AH14" t="s">
        <v>32</v>
      </c>
      <c r="AS14" t="s">
        <v>39</v>
      </c>
      <c r="AT14" s="10">
        <f t="shared" ref="AT14:AT15" si="4">AT7/SUM($AT$6:$AT$8)</f>
        <v>0.5757575757575758</v>
      </c>
      <c r="AU14" s="10">
        <f t="shared" ref="AU14:AU15" si="5">1-AT14</f>
        <v>0.4242424242424242</v>
      </c>
    </row>
    <row r="15" spans="2:53" x14ac:dyDescent="0.35">
      <c r="Q15" s="4"/>
      <c r="S15">
        <v>2024</v>
      </c>
      <c r="T15" s="3">
        <v>933</v>
      </c>
      <c r="U15" s="9">
        <v>-0.83498408206579411</v>
      </c>
      <c r="AC15" s="8" t="s">
        <v>21</v>
      </c>
      <c r="AS15" t="s">
        <v>40</v>
      </c>
      <c r="AT15" s="10">
        <f t="shared" si="4"/>
        <v>0.12121212121212122</v>
      </c>
      <c r="AU15" s="10">
        <f t="shared" si="5"/>
        <v>0.87878787878787878</v>
      </c>
    </row>
    <row r="16" spans="2:53" x14ac:dyDescent="0.35">
      <c r="Q16" s="4"/>
      <c r="AC16" t="str">
        <f>"Focus on Highlighted Weekdays: they exceeded the "&amp;AE6&amp;" passengers average and account for "&amp;TEXT(AC20,"0.00%")&amp;" of the total passengers"</f>
        <v>Focus on Highlighted Weekdays: they exceeded the 941 passengers average and account for 49.39% of the total passengers</v>
      </c>
    </row>
    <row r="17" spans="17:29" x14ac:dyDescent="0.35">
      <c r="Q17" s="4"/>
    </row>
    <row r="19" spans="17:29" x14ac:dyDescent="0.35">
      <c r="T19" t="s">
        <v>17</v>
      </c>
      <c r="U19" t="s">
        <v>18</v>
      </c>
      <c r="AC19" s="8" t="s">
        <v>35</v>
      </c>
    </row>
    <row r="20" spans="17:29" x14ac:dyDescent="0.35">
      <c r="T20" s="9">
        <f>(T7-T6)/T6</f>
        <v>-0.83498408206579411</v>
      </c>
      <c r="U20" t="str">
        <f>IF(T20&lt;0,T24,T23)</f>
        <v>▼</v>
      </c>
      <c r="AC20" s="9">
        <f>SUM(AF6:AF12)/SUM(AD6:AD12)</f>
        <v>0.4938515257325034</v>
      </c>
    </row>
    <row r="21" spans="17:29" x14ac:dyDescent="0.35">
      <c r="AC21" s="9"/>
    </row>
    <row r="23" spans="17:29" x14ac:dyDescent="0.35">
      <c r="T23" t="s">
        <v>19</v>
      </c>
    </row>
    <row r="24" spans="17:29" x14ac:dyDescent="0.35">
      <c r="T24" t="s">
        <v>20</v>
      </c>
    </row>
    <row r="25" spans="17:29" x14ac:dyDescent="0.35">
      <c r="T25" s="8" t="s">
        <v>21</v>
      </c>
    </row>
    <row r="26" spans="17:29" x14ac:dyDescent="0.35">
      <c r="T26" t="str">
        <f>IF(T20&lt;0,"YoY change suggests room for improvement","We are doing well on the current Year")</f>
        <v>YoY change suggests room for improvement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0D7B-00B7-4D0B-B7C0-7447B088C995}">
  <dimension ref="A1"/>
  <sheetViews>
    <sheetView showGridLines="0" showRowColHeaders="0" tabSelected="1" zoomScaleNormal="100" workbookViewId="0">
      <selection activeCell="A32" sqref="A32"/>
    </sheetView>
  </sheetViews>
  <sheetFormatPr defaultRowHeight="14.5" x14ac:dyDescent="0.35"/>
  <cols>
    <col min="1" max="16384" width="8.7265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8057DEF0-447A-41B3-98AE-EDAA802E649B}">
  <ds:schemaRefs/>
</ds:datastoreItem>
</file>

<file path=customXml/itemProps2.xml><?xml version="1.0" encoding="utf-8"?>
<ds:datastoreItem xmlns:ds="http://schemas.openxmlformats.org/officeDocument/2006/customXml" ds:itemID="{0BEEECDC-002D-4421-9465-69139D716208}">
  <ds:schemaRefs/>
</ds:datastoreItem>
</file>

<file path=customXml/itemProps3.xml><?xml version="1.0" encoding="utf-8"?>
<ds:datastoreItem xmlns:ds="http://schemas.openxmlformats.org/officeDocument/2006/customXml" ds:itemID="{CB7133E1-030B-416A-83EC-0164FEFA1C2B}">
  <ds:schemaRefs/>
</ds:datastoreItem>
</file>

<file path=customXml/itemProps4.xml><?xml version="1.0" encoding="utf-8"?>
<ds:datastoreItem xmlns:ds="http://schemas.openxmlformats.org/officeDocument/2006/customXml" ds:itemID="{F38C7553-2199-4015-8731-2F97E2AFFDFA}">
  <ds:schemaRefs/>
</ds:datastoreItem>
</file>

<file path=customXml/itemProps5.xml><?xml version="1.0" encoding="utf-8"?>
<ds:datastoreItem xmlns:ds="http://schemas.openxmlformats.org/officeDocument/2006/customXml" ds:itemID="{63F059B4-FF3F-4C5D-9324-D786EC37CF1B}">
  <ds:schemaRefs/>
</ds:datastoreItem>
</file>

<file path=customXml/itemProps6.xml><?xml version="1.0" encoding="utf-8"?>
<ds:datastoreItem xmlns:ds="http://schemas.openxmlformats.org/officeDocument/2006/customXml" ds:itemID="{298F439F-DFF4-4AD0-A71C-B419DE64B1F7}">
  <ds:schemaRefs/>
</ds:datastoreItem>
</file>

<file path=customXml/itemProps7.xml><?xml version="1.0" encoding="utf-8"?>
<ds:datastoreItem xmlns:ds="http://schemas.openxmlformats.org/officeDocument/2006/customXml" ds:itemID="{919AB87C-4FD1-4769-9F5B-AFAE4CA00EE1}">
  <ds:schemaRefs/>
</ds:datastoreItem>
</file>

<file path=customXml/itemProps8.xml><?xml version="1.0" encoding="utf-8"?>
<ds:datastoreItem xmlns:ds="http://schemas.openxmlformats.org/officeDocument/2006/customXml" ds:itemID="{C7D4BB7D-9C6F-406B-9B1E-BC1AB808A564}">
  <ds:schemaRefs/>
</ds:datastoreItem>
</file>

<file path=customXml/itemProps9.xml><?xml version="1.0" encoding="utf-8"?>
<ds:datastoreItem xmlns:ds="http://schemas.openxmlformats.org/officeDocument/2006/customXml" ds:itemID="{AC7CB005-5B84-4D82-8E8E-38281305D51A}">
  <ds:schemaRefs/>
</ds:datastoreItem>
</file>

<file path=customXml/itemProps10.xml><?xml version="1.0" encoding="utf-8"?>
<ds:datastoreItem xmlns:ds="http://schemas.openxmlformats.org/officeDocument/2006/customXml" ds:itemID="{6FE4FBF4-F62F-4CBB-83D7-DAB4739239B5}">
  <ds:schemaRefs/>
</ds:datastoreItem>
</file>

<file path=customXml/itemProps11.xml><?xml version="1.0" encoding="utf-8"?>
<ds:datastoreItem xmlns:ds="http://schemas.openxmlformats.org/officeDocument/2006/customXml" ds:itemID="{B244B4F5-60E8-4EF2-B647-71957E5EF27A}">
  <ds:schemaRefs/>
</ds:datastoreItem>
</file>

<file path=customXml/itemProps12.xml><?xml version="1.0" encoding="utf-8"?>
<ds:datastoreItem xmlns:ds="http://schemas.openxmlformats.org/officeDocument/2006/customXml" ds:itemID="{6B53A3F5-3549-46A6-97BB-4859A0C359C2}">
  <ds:schemaRefs/>
</ds:datastoreItem>
</file>

<file path=customXml/itemProps13.xml><?xml version="1.0" encoding="utf-8"?>
<ds:datastoreItem xmlns:ds="http://schemas.openxmlformats.org/officeDocument/2006/customXml" ds:itemID="{DEE02533-711B-4FF5-8486-7E98D7F3E4F5}">
  <ds:schemaRefs/>
</ds:datastoreItem>
</file>

<file path=customXml/itemProps14.xml><?xml version="1.0" encoding="utf-8"?>
<ds:datastoreItem xmlns:ds="http://schemas.openxmlformats.org/officeDocument/2006/customXml" ds:itemID="{E85052D6-EE89-405F-8FE4-DD256C74758D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6228AD0A-7383-4A3F-A68C-DCD12BA1B545}">
  <ds:schemaRefs/>
</ds:datastoreItem>
</file>

<file path=customXml/itemProps16.xml><?xml version="1.0" encoding="utf-8"?>
<ds:datastoreItem xmlns:ds="http://schemas.openxmlformats.org/officeDocument/2006/customXml" ds:itemID="{9222137A-E04D-45C3-A8BD-FA0269F1D753}">
  <ds:schemaRefs/>
</ds:datastoreItem>
</file>

<file path=customXml/itemProps17.xml><?xml version="1.0" encoding="utf-8"?>
<ds:datastoreItem xmlns:ds="http://schemas.openxmlformats.org/officeDocument/2006/customXml" ds:itemID="{AFB0F3A5-0185-41F5-9159-9991C1DF88F5}">
  <ds:schemaRefs/>
</ds:datastoreItem>
</file>

<file path=customXml/itemProps18.xml><?xml version="1.0" encoding="utf-8"?>
<ds:datastoreItem xmlns:ds="http://schemas.openxmlformats.org/officeDocument/2006/customXml" ds:itemID="{913E2163-C607-49C2-84B8-18283ABF5EB5}">
  <ds:schemaRefs/>
</ds:datastoreItem>
</file>

<file path=customXml/itemProps19.xml><?xml version="1.0" encoding="utf-8"?>
<ds:datastoreItem xmlns:ds="http://schemas.openxmlformats.org/officeDocument/2006/customXml" ds:itemID="{04A2D073-6425-4A6B-951B-C326C454D671}">
  <ds:schemaRefs/>
</ds:datastoreItem>
</file>

<file path=customXml/itemProps20.xml><?xml version="1.0" encoding="utf-8"?>
<ds:datastoreItem xmlns:ds="http://schemas.openxmlformats.org/officeDocument/2006/customXml" ds:itemID="{CF2B48FA-370E-4E09-BBB3-78C85ED70FFC}">
  <ds:schemaRefs/>
</ds:datastoreItem>
</file>

<file path=customXml/itemProps21.xml><?xml version="1.0" encoding="utf-8"?>
<ds:datastoreItem xmlns:ds="http://schemas.openxmlformats.org/officeDocument/2006/customXml" ds:itemID="{288DB1DB-2C95-435D-ADC9-B0D95954F77D}">
  <ds:schemaRefs/>
</ds:datastoreItem>
</file>

<file path=customXml/itemProps22.xml><?xml version="1.0" encoding="utf-8"?>
<ds:datastoreItem xmlns:ds="http://schemas.openxmlformats.org/officeDocument/2006/customXml" ds:itemID="{CE8CABC3-0CFC-444C-9185-DD6B1B29BA0D}">
  <ds:schemaRefs/>
</ds:datastoreItem>
</file>

<file path=customXml/itemProps23.xml><?xml version="1.0" encoding="utf-8"?>
<ds:datastoreItem xmlns:ds="http://schemas.openxmlformats.org/officeDocument/2006/customXml" ds:itemID="{1658AA6C-9E11-4C0A-9CFC-045EEA3A41E7}">
  <ds:schemaRefs/>
</ds:datastoreItem>
</file>

<file path=customXml/itemProps24.xml><?xml version="1.0" encoding="utf-8"?>
<ds:datastoreItem xmlns:ds="http://schemas.openxmlformats.org/officeDocument/2006/customXml" ds:itemID="{0A342585-19F9-421C-9CCE-9CFBDB29600A}">
  <ds:schemaRefs/>
</ds:datastoreItem>
</file>

<file path=customXml/itemProps25.xml><?xml version="1.0" encoding="utf-8"?>
<ds:datastoreItem xmlns:ds="http://schemas.openxmlformats.org/officeDocument/2006/customXml" ds:itemID="{1AF24B13-604F-4CDC-94D2-45142772C9B4}">
  <ds:schemaRefs/>
</ds:datastoreItem>
</file>

<file path=customXml/itemProps26.xml><?xml version="1.0" encoding="utf-8"?>
<ds:datastoreItem xmlns:ds="http://schemas.openxmlformats.org/officeDocument/2006/customXml" ds:itemID="{1F24070C-163F-417C-A721-3F34BBA9BE0D}">
  <ds:schemaRefs/>
</ds:datastoreItem>
</file>

<file path=customXml/itemProps27.xml><?xml version="1.0" encoding="utf-8"?>
<ds:datastoreItem xmlns:ds="http://schemas.openxmlformats.org/officeDocument/2006/customXml" ds:itemID="{D7B7743A-DB4D-47C9-8710-B0542BC42768}">
  <ds:schemaRefs/>
</ds:datastoreItem>
</file>

<file path=customXml/itemProps28.xml><?xml version="1.0" encoding="utf-8"?>
<ds:datastoreItem xmlns:ds="http://schemas.openxmlformats.org/officeDocument/2006/customXml" ds:itemID="{EC9FDFDE-5B6D-4D31-BA82-EE86A6021889}">
  <ds:schemaRefs/>
</ds:datastoreItem>
</file>

<file path=customXml/itemProps29.xml><?xml version="1.0" encoding="utf-8"?>
<ds:datastoreItem xmlns:ds="http://schemas.openxmlformats.org/officeDocument/2006/customXml" ds:itemID="{F142C38A-D7AC-40C8-914C-37A1C38FB228}">
  <ds:schemaRefs/>
</ds:datastoreItem>
</file>

<file path=customXml/itemProps30.xml><?xml version="1.0" encoding="utf-8"?>
<ds:datastoreItem xmlns:ds="http://schemas.openxmlformats.org/officeDocument/2006/customXml" ds:itemID="{C084D7C2-A6DF-4A14-A840-106569DBCFEB}">
  <ds:schemaRefs/>
</ds:datastoreItem>
</file>

<file path=customXml/itemProps31.xml><?xml version="1.0" encoding="utf-8"?>
<ds:datastoreItem xmlns:ds="http://schemas.openxmlformats.org/officeDocument/2006/customXml" ds:itemID="{97F04569-359A-41D4-A68A-D1917829A70D}">
  <ds:schemaRefs/>
</ds:datastoreItem>
</file>

<file path=customXml/itemProps32.xml><?xml version="1.0" encoding="utf-8"?>
<ds:datastoreItem xmlns:ds="http://schemas.openxmlformats.org/officeDocument/2006/customXml" ds:itemID="{CC906FE8-E2E1-4286-B334-0B346B77E105}">
  <ds:schemaRefs/>
</ds:datastoreItem>
</file>

<file path=customXml/itemProps33.xml><?xml version="1.0" encoding="utf-8"?>
<ds:datastoreItem xmlns:ds="http://schemas.openxmlformats.org/officeDocument/2006/customXml" ds:itemID="{BCA7AE58-4755-4C49-9F8C-33CDEE6EC7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Analysis01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Saffwan  Khan</dc:creator>
  <cp:lastModifiedBy>Saffwan  Khan</cp:lastModifiedBy>
  <dcterms:created xsi:type="dcterms:W3CDTF">2025-06-30T21:52:33Z</dcterms:created>
  <dcterms:modified xsi:type="dcterms:W3CDTF">2025-07-03T19:04:47Z</dcterms:modified>
</cp:coreProperties>
</file>